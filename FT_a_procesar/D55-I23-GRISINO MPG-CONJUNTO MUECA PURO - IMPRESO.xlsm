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4" i="15" l="1"/>
  <c r="I95" i="15"/>
  <c r="I96" i="15"/>
  <c r="I97" i="15"/>
  <c r="I98" i="15"/>
  <c r="I99" i="15"/>
  <c r="I100" i="15"/>
  <c r="I101" i="15"/>
  <c r="B102" i="15"/>
  <c r="I102" i="15" s="1"/>
  <c r="AA7" i="15" l="1"/>
  <c r="P39" i="15" l="1"/>
  <c r="O39" i="15"/>
  <c r="N39" i="15"/>
  <c r="M39" i="15"/>
  <c r="L39" i="15"/>
  <c r="I103" i="15" l="1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<sst xmlns="http://schemas.openxmlformats.org/spreadsheetml/2006/main" count="4085" uniqueCount="1362">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</sst>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0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left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63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xmlns="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xmlns="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xmlns="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9825B61D-E19A-4E3C-9C24-40C308E82389}"/>
            </a:ext>
          </a:extLst>
        </xdr:cNvPr>
        <xdr:cNvSpPr/>
      </xdr:nvSpPr>
      <xdr:spPr>
        <a:xfrm>
          <a:off x="4587240" y="15992475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topLeftCell="A31"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345" t="str">
        <f>'FICHA CARGA'!B1:D1</f>
        <v>I23</v>
      </c>
      <c r="C1" s="346"/>
      <c r="D1" s="347"/>
      <c r="E1" s="348" t="str">
        <f>'FICHA CARGA'!E1:G1</f>
        <v>GRISINO</v>
      </c>
      <c r="F1" s="349"/>
      <c r="G1" s="350"/>
      <c r="H1" s="351" t="str">
        <f>'FICHA CARGA'!H1:I1</f>
        <v>MPG</v>
      </c>
      <c r="I1" s="347"/>
      <c r="J1" s="352" t="s">
        <v>1323</v>
      </c>
      <c r="K1" s="352"/>
      <c r="L1" s="352"/>
      <c r="M1" s="353" t="str">
        <f>'FICHA CARGA'!M1:N1</f>
        <v>CONJUNTO</v>
      </c>
      <c r="N1" s="353"/>
      <c r="O1" s="329" t="str">
        <f>'FICHA CARGA'!O1</f>
        <v>01</v>
      </c>
      <c r="P1" s="352"/>
      <c r="Q1" s="352"/>
      <c r="R1" s="330"/>
      <c r="S1" s="331"/>
      <c r="T1" s="343" t="s">
        <v>22</v>
      </c>
      <c r="U1" s="344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76" t="s">
        <v>46</v>
      </c>
      <c r="B2" s="378" t="str">
        <f>'FICHA CARGA'!B2:F2</f>
        <v>G0DM00</v>
      </c>
      <c r="C2" s="379"/>
      <c r="D2" s="379"/>
      <c r="E2" s="379"/>
      <c r="F2" s="380"/>
      <c r="G2" s="381" t="str">
        <f>'FICHA CARGA'!G2:M2</f>
        <v>CONJUNTO MUECA PURO - PLUSH</v>
      </c>
      <c r="H2" s="382"/>
      <c r="I2" s="382"/>
      <c r="J2" s="382"/>
      <c r="K2" s="382"/>
      <c r="L2" s="382"/>
      <c r="M2" s="383"/>
      <c r="N2" s="384" t="s">
        <v>5</v>
      </c>
      <c r="O2" s="385"/>
      <c r="P2" s="386" t="str">
        <f>'FICHA CARGA'!P2:S2</f>
        <v>A - B - C - D - E</v>
      </c>
      <c r="Q2" s="387"/>
      <c r="R2" s="387"/>
      <c r="S2" s="388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77"/>
      <c r="B3" s="389" t="str">
        <f>'FICHA CARGA'!B3:F3</f>
        <v/>
      </c>
      <c r="C3" s="390"/>
      <c r="D3" s="390"/>
      <c r="E3" s="390"/>
      <c r="F3" s="391"/>
      <c r="G3" s="392" t="str">
        <f>'FICHA CARGA'!G3:M3</f>
        <v/>
      </c>
      <c r="H3" s="393"/>
      <c r="I3" s="393"/>
      <c r="J3" s="393"/>
      <c r="K3" s="393"/>
      <c r="L3" s="393"/>
      <c r="M3" s="394"/>
      <c r="N3" s="395" t="s">
        <v>5</v>
      </c>
      <c r="O3" s="396"/>
      <c r="P3" s="397">
        <f>'FICHA CARGA'!P3:S3</f>
        <v>0</v>
      </c>
      <c r="Q3" s="398"/>
      <c r="R3" s="398"/>
      <c r="S3" s="399"/>
      <c r="T3" s="374" t="str">
        <f>'FICHA CARGA'!T3:U3</f>
        <v>D55</v>
      </c>
      <c r="U3" s="375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363" t="s">
        <v>1269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L4" s="364"/>
      <c r="M4" s="364"/>
      <c r="N4" s="364"/>
      <c r="O4" s="364"/>
      <c r="P4" s="364"/>
      <c r="Q4" s="364"/>
      <c r="R4" s="364"/>
      <c r="S4" s="364"/>
      <c r="T4" s="364"/>
      <c r="U4" s="365"/>
    </row>
    <row r="5" spans="1:35" ht="17.100000000000001" customHeight="1" thickBot="1" x14ac:dyDescent="0.45">
      <c r="A5" s="366"/>
      <c r="B5" s="367"/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P5" s="367"/>
      <c r="Q5" s="367"/>
      <c r="R5" s="367"/>
      <c r="S5" s="367"/>
      <c r="T5" s="367"/>
      <c r="U5" s="368"/>
      <c r="W5" s="318"/>
    </row>
    <row r="6" spans="1:35" s="56" customFormat="1" ht="19.149999999999999" customHeight="1" thickBot="1" x14ac:dyDescent="0.35">
      <c r="A6" s="369" t="str">
        <f>'FICHA CARGA'!L4</f>
        <v>BLANCO-BL</v>
      </c>
      <c r="B6" s="370"/>
      <c r="C6" s="370"/>
      <c r="D6" s="370"/>
      <c r="E6" s="370"/>
      <c r="F6" s="371"/>
      <c r="G6" s="369">
        <f>'FICHA CARGA'!N4</f>
        <v>0</v>
      </c>
      <c r="H6" s="370"/>
      <c r="I6" s="371"/>
      <c r="J6" s="369">
        <f>'FICHA CARGA'!P4</f>
        <v>0</v>
      </c>
      <c r="K6" s="370"/>
      <c r="L6" s="370"/>
      <c r="M6" s="371"/>
      <c r="N6" s="369">
        <f>'FICHA CARGA'!R4</f>
        <v>0</v>
      </c>
      <c r="O6" s="370"/>
      <c r="P6" s="370"/>
      <c r="Q6" s="371"/>
      <c r="R6" s="369">
        <f>'FICHA CARGA'!T4</f>
        <v>0</v>
      </c>
      <c r="S6" s="370"/>
      <c r="T6" s="370"/>
      <c r="U6" s="371"/>
      <c r="W6" s="373"/>
      <c r="X6" s="373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34"/>
      <c r="B7" s="335"/>
      <c r="C7" s="335"/>
      <c r="D7" s="335"/>
      <c r="E7" s="335"/>
      <c r="F7" s="336"/>
      <c r="G7" s="400"/>
      <c r="H7" s="401"/>
      <c r="I7" s="402"/>
      <c r="J7" s="354"/>
      <c r="K7" s="355"/>
      <c r="L7" s="355"/>
      <c r="M7" s="356"/>
      <c r="N7" s="354"/>
      <c r="O7" s="355"/>
      <c r="P7" s="355"/>
      <c r="Q7" s="356"/>
      <c r="R7" s="354"/>
      <c r="S7" s="355"/>
      <c r="T7" s="355"/>
      <c r="U7" s="356"/>
      <c r="W7" s="373"/>
      <c r="X7" s="373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37"/>
      <c r="B8" s="338"/>
      <c r="C8" s="338"/>
      <c r="D8" s="338"/>
      <c r="E8" s="338"/>
      <c r="F8" s="339"/>
      <c r="G8" s="403"/>
      <c r="H8" s="404"/>
      <c r="I8" s="405"/>
      <c r="J8" s="357"/>
      <c r="K8" s="358"/>
      <c r="L8" s="358"/>
      <c r="M8" s="359"/>
      <c r="N8" s="357"/>
      <c r="O8" s="358"/>
      <c r="P8" s="358"/>
      <c r="Q8" s="359"/>
      <c r="R8" s="357"/>
      <c r="S8" s="358"/>
      <c r="T8" s="358"/>
      <c r="U8" s="359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37"/>
      <c r="B9" s="338"/>
      <c r="C9" s="338"/>
      <c r="D9" s="338"/>
      <c r="E9" s="338"/>
      <c r="F9" s="339"/>
      <c r="G9" s="403"/>
      <c r="H9" s="404"/>
      <c r="I9" s="405"/>
      <c r="J9" s="357"/>
      <c r="K9" s="358"/>
      <c r="L9" s="358"/>
      <c r="M9" s="359"/>
      <c r="N9" s="357"/>
      <c r="O9" s="358"/>
      <c r="P9" s="358"/>
      <c r="Q9" s="359"/>
      <c r="R9" s="357"/>
      <c r="S9" s="358"/>
      <c r="T9" s="358"/>
      <c r="U9" s="359"/>
      <c r="W9" s="372"/>
      <c r="X9" s="372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37"/>
      <c r="B10" s="338"/>
      <c r="C10" s="338"/>
      <c r="D10" s="338"/>
      <c r="E10" s="338"/>
      <c r="F10" s="339"/>
      <c r="G10" s="403"/>
      <c r="H10" s="404"/>
      <c r="I10" s="405"/>
      <c r="J10" s="357"/>
      <c r="K10" s="358"/>
      <c r="L10" s="358"/>
      <c r="M10" s="359"/>
      <c r="N10" s="357"/>
      <c r="O10" s="358"/>
      <c r="P10" s="358"/>
      <c r="Q10" s="359"/>
      <c r="R10" s="357"/>
      <c r="S10" s="358"/>
      <c r="T10" s="358"/>
      <c r="U10" s="359"/>
      <c r="W10" s="372"/>
      <c r="X10" s="372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37"/>
      <c r="B11" s="338"/>
      <c r="C11" s="338"/>
      <c r="D11" s="338"/>
      <c r="E11" s="338"/>
      <c r="F11" s="339"/>
      <c r="G11" s="403"/>
      <c r="H11" s="404"/>
      <c r="I11" s="405"/>
      <c r="J11" s="357"/>
      <c r="K11" s="358"/>
      <c r="L11" s="358"/>
      <c r="M11" s="359"/>
      <c r="N11" s="357"/>
      <c r="O11" s="358"/>
      <c r="P11" s="358"/>
      <c r="Q11" s="359"/>
      <c r="R11" s="357"/>
      <c r="S11" s="358"/>
      <c r="T11" s="358"/>
      <c r="U11" s="359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37"/>
      <c r="B12" s="338"/>
      <c r="C12" s="338"/>
      <c r="D12" s="338"/>
      <c r="E12" s="338"/>
      <c r="F12" s="339"/>
      <c r="G12" s="403"/>
      <c r="H12" s="404"/>
      <c r="I12" s="405"/>
      <c r="J12" s="357"/>
      <c r="K12" s="358"/>
      <c r="L12" s="358"/>
      <c r="M12" s="359"/>
      <c r="N12" s="357"/>
      <c r="O12" s="358"/>
      <c r="P12" s="358"/>
      <c r="Q12" s="359"/>
      <c r="R12" s="357"/>
      <c r="S12" s="358"/>
      <c r="T12" s="358"/>
      <c r="U12" s="359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37"/>
      <c r="B13" s="338"/>
      <c r="C13" s="338"/>
      <c r="D13" s="338"/>
      <c r="E13" s="338"/>
      <c r="F13" s="339"/>
      <c r="G13" s="403"/>
      <c r="H13" s="404"/>
      <c r="I13" s="405"/>
      <c r="J13" s="357"/>
      <c r="K13" s="358"/>
      <c r="L13" s="358"/>
      <c r="M13" s="359"/>
      <c r="N13" s="357"/>
      <c r="O13" s="358"/>
      <c r="P13" s="358"/>
      <c r="Q13" s="359"/>
      <c r="R13" s="357"/>
      <c r="S13" s="358"/>
      <c r="T13" s="358"/>
      <c r="U13" s="359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40"/>
      <c r="B14" s="341"/>
      <c r="C14" s="341"/>
      <c r="D14" s="341"/>
      <c r="E14" s="341"/>
      <c r="F14" s="342"/>
      <c r="G14" s="406"/>
      <c r="H14" s="407"/>
      <c r="I14" s="408"/>
      <c r="J14" s="360"/>
      <c r="K14" s="361"/>
      <c r="L14" s="361"/>
      <c r="M14" s="362"/>
      <c r="N14" s="360"/>
      <c r="O14" s="361"/>
      <c r="P14" s="361"/>
      <c r="Q14" s="362"/>
      <c r="R14" s="360"/>
      <c r="S14" s="361"/>
      <c r="T14" s="361"/>
      <c r="U14" s="362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34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6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37"/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37"/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37"/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  <c r="W18" s="312" t="s">
        <v>1272</v>
      </c>
      <c r="X18" s="312"/>
      <c r="Y18" s="71"/>
    </row>
    <row r="19" spans="1:35" ht="15" customHeight="1" x14ac:dyDescent="0.2">
      <c r="A19" s="337"/>
      <c r="B19" s="338"/>
      <c r="C19" s="338"/>
      <c r="D19" s="338"/>
      <c r="E19" s="338"/>
      <c r="F19" s="338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338"/>
      <c r="R19" s="338"/>
      <c r="S19" s="338"/>
      <c r="T19" s="338"/>
      <c r="U19" s="339"/>
      <c r="W19" s="312" t="s">
        <v>1273</v>
      </c>
      <c r="X19" s="312"/>
    </row>
    <row r="20" spans="1:35" s="56" customFormat="1" ht="15" customHeight="1" x14ac:dyDescent="0.2">
      <c r="A20" s="337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9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37"/>
      <c r="B21" s="338"/>
      <c r="C21" s="338"/>
      <c r="D21" s="338"/>
      <c r="E21" s="338"/>
      <c r="F21" s="338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9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37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9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37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9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37"/>
      <c r="B24" s="338"/>
      <c r="C24" s="338"/>
      <c r="D24" s="338"/>
      <c r="E24" s="338"/>
      <c r="F24" s="338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9"/>
      <c r="W24" s="308"/>
      <c r="X24" s="308"/>
      <c r="AF24" s="58"/>
      <c r="AI24" s="151"/>
    </row>
    <row r="25" spans="1:35" s="56" customFormat="1" ht="15" customHeight="1" x14ac:dyDescent="0.2">
      <c r="A25" s="337"/>
      <c r="B25" s="338"/>
      <c r="C25" s="338"/>
      <c r="D25" s="338"/>
      <c r="E25" s="338"/>
      <c r="F25" s="338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9"/>
      <c r="W25" s="308"/>
      <c r="X25" s="308"/>
      <c r="AF25" s="58"/>
      <c r="AI25" s="151"/>
    </row>
    <row r="26" spans="1:35" s="56" customFormat="1" ht="15" customHeight="1" x14ac:dyDescent="0.2">
      <c r="A26" s="337"/>
      <c r="B26" s="338"/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9"/>
      <c r="W26" s="308"/>
      <c r="X26" s="308"/>
      <c r="AF26" s="58"/>
      <c r="AI26" s="151"/>
    </row>
    <row r="27" spans="1:35" s="56" customFormat="1" ht="15" customHeight="1" x14ac:dyDescent="0.2">
      <c r="A27" s="337"/>
      <c r="B27" s="338"/>
      <c r="C27" s="338"/>
      <c r="D27" s="338"/>
      <c r="E27" s="338"/>
      <c r="F27" s="338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9"/>
      <c r="W27" s="308"/>
      <c r="X27" s="308"/>
      <c r="AF27" s="58"/>
      <c r="AI27" s="151"/>
    </row>
    <row r="28" spans="1:35" s="56" customFormat="1" ht="15" customHeight="1" x14ac:dyDescent="0.2">
      <c r="A28" s="337"/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9"/>
      <c r="W28" s="308"/>
      <c r="X28" s="308"/>
      <c r="AF28" s="58"/>
      <c r="AI28" s="151"/>
    </row>
    <row r="29" spans="1:35" s="56" customFormat="1" ht="15" customHeight="1" x14ac:dyDescent="0.2">
      <c r="A29" s="337"/>
      <c r="B29" s="338"/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9"/>
      <c r="W29" s="308"/>
      <c r="X29" s="308"/>
      <c r="AF29" s="58"/>
      <c r="AI29" s="151"/>
    </row>
    <row r="30" spans="1:35" s="56" customFormat="1" ht="15" customHeight="1" x14ac:dyDescent="0.2">
      <c r="A30" s="337"/>
      <c r="B30" s="338"/>
      <c r="C30" s="338"/>
      <c r="D30" s="338"/>
      <c r="E30" s="338"/>
      <c r="F30" s="338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9"/>
      <c r="W30" s="308"/>
      <c r="X30" s="308"/>
      <c r="AF30" s="58"/>
      <c r="AI30" s="151"/>
    </row>
    <row r="31" spans="1:35" s="56" customFormat="1" ht="15" customHeight="1" x14ac:dyDescent="0.2">
      <c r="A31" s="337"/>
      <c r="B31" s="338"/>
      <c r="C31" s="338"/>
      <c r="D31" s="338"/>
      <c r="E31" s="338"/>
      <c r="F31" s="338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9"/>
      <c r="W31" s="308"/>
      <c r="X31" s="308"/>
      <c r="AF31" s="58"/>
      <c r="AI31" s="151"/>
    </row>
    <row r="32" spans="1:35" s="56" customFormat="1" ht="15" customHeight="1" x14ac:dyDescent="0.25">
      <c r="A32" s="337"/>
      <c r="B32" s="338"/>
      <c r="C32" s="338"/>
      <c r="D32" s="338"/>
      <c r="E32" s="338"/>
      <c r="F32" s="338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9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37"/>
      <c r="B33" s="338"/>
      <c r="C33" s="338"/>
      <c r="D33" s="338"/>
      <c r="E33" s="338"/>
      <c r="F33" s="338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9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37"/>
      <c r="B34" s="338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9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37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9"/>
      <c r="W35" s="308"/>
      <c r="X35" s="308"/>
      <c r="AB35" s="87"/>
      <c r="AF35" s="58"/>
      <c r="AI35" s="151"/>
    </row>
    <row r="36" spans="1:35" s="56" customFormat="1" ht="15" customHeight="1" x14ac:dyDescent="0.25">
      <c r="A36" s="337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9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37"/>
      <c r="B37" s="338"/>
      <c r="C37" s="338"/>
      <c r="D37" s="338"/>
      <c r="E37" s="338"/>
      <c r="F37" s="338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9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37"/>
      <c r="B38" s="338"/>
      <c r="C38" s="338"/>
      <c r="D38" s="338"/>
      <c r="E38" s="338"/>
      <c r="F38" s="338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9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37"/>
      <c r="B39" s="338"/>
      <c r="C39" s="338"/>
      <c r="D39" s="338"/>
      <c r="E39" s="338"/>
      <c r="F39" s="338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  <c r="W39" s="308"/>
      <c r="X39" s="308"/>
      <c r="AB39" s="87"/>
      <c r="AF39" s="58"/>
      <c r="AI39" s="151"/>
    </row>
    <row r="40" spans="1:35" s="56" customFormat="1" ht="15" customHeight="1" x14ac:dyDescent="0.2">
      <c r="A40" s="337"/>
      <c r="B40" s="338"/>
      <c r="C40" s="338"/>
      <c r="D40" s="338"/>
      <c r="E40" s="338"/>
      <c r="F40" s="338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  <c r="W40" s="308"/>
      <c r="X40" s="308"/>
      <c r="AB40" s="87"/>
      <c r="AF40" s="58"/>
      <c r="AI40" s="151"/>
    </row>
    <row r="41" spans="1:35" s="56" customFormat="1" ht="15" customHeight="1" x14ac:dyDescent="0.2">
      <c r="A41" s="337"/>
      <c r="B41" s="338"/>
      <c r="C41" s="338"/>
      <c r="D41" s="338"/>
      <c r="E41" s="338"/>
      <c r="F41" s="338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  <c r="W41" s="308"/>
      <c r="X41" s="308"/>
      <c r="AB41" s="87"/>
      <c r="AF41" s="58"/>
      <c r="AI41" s="151"/>
    </row>
    <row r="42" spans="1:35" s="56" customFormat="1" ht="15" customHeight="1" x14ac:dyDescent="0.2">
      <c r="A42" s="337"/>
      <c r="B42" s="338"/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9"/>
      <c r="W42" s="308"/>
      <c r="X42" s="308"/>
      <c r="AF42" s="58"/>
      <c r="AI42" s="151"/>
    </row>
    <row r="43" spans="1:35" s="56" customFormat="1" ht="15" customHeight="1" x14ac:dyDescent="0.2">
      <c r="A43" s="337"/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9"/>
      <c r="W43" s="308"/>
      <c r="X43" s="308"/>
      <c r="AF43" s="58"/>
      <c r="AI43" s="151"/>
    </row>
    <row r="44" spans="1:35" s="56" customFormat="1" ht="15" hidden="1" customHeight="1" x14ac:dyDescent="0.2">
      <c r="A44" s="337"/>
      <c r="B44" s="338"/>
      <c r="C44" s="338"/>
      <c r="D44" s="338"/>
      <c r="E44" s="338"/>
      <c r="F44" s="338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9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37"/>
      <c r="B45" s="338"/>
      <c r="C45" s="338"/>
      <c r="D45" s="338"/>
      <c r="E45" s="338"/>
      <c r="F45" s="338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9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37"/>
      <c r="B46" s="338"/>
      <c r="C46" s="338"/>
      <c r="D46" s="338"/>
      <c r="E46" s="338"/>
      <c r="F46" s="338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9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37"/>
      <c r="B47" s="338"/>
      <c r="C47" s="338"/>
      <c r="D47" s="338"/>
      <c r="E47" s="338"/>
      <c r="F47" s="338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9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37"/>
      <c r="B48" s="338"/>
      <c r="C48" s="338"/>
      <c r="D48" s="338"/>
      <c r="E48" s="338"/>
      <c r="F48" s="338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9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37"/>
      <c r="B49" s="338"/>
      <c r="C49" s="338"/>
      <c r="D49" s="338"/>
      <c r="E49" s="338"/>
      <c r="F49" s="338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9"/>
      <c r="W49" s="308"/>
      <c r="X49" s="308"/>
      <c r="AF49" s="58"/>
      <c r="AI49" s="151"/>
    </row>
    <row r="50" spans="1:35" s="56" customFormat="1" ht="15" hidden="1" customHeight="1" x14ac:dyDescent="0.2">
      <c r="A50" s="337"/>
      <c r="B50" s="338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9"/>
      <c r="W50" s="308"/>
      <c r="X50" s="308"/>
      <c r="AF50" s="58"/>
      <c r="AI50" s="151"/>
    </row>
    <row r="51" spans="1:35" s="56" customFormat="1" ht="15" hidden="1" customHeight="1" thickBot="1" x14ac:dyDescent="0.25">
      <c r="A51" s="337"/>
      <c r="B51" s="338"/>
      <c r="C51" s="338"/>
      <c r="D51" s="338"/>
      <c r="E51" s="338"/>
      <c r="F51" s="338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9"/>
      <c r="W51" s="308"/>
      <c r="X51" s="308"/>
      <c r="AF51" s="58"/>
      <c r="AI51" s="151"/>
    </row>
    <row r="52" spans="1:35" s="56" customFormat="1" ht="15" customHeight="1" x14ac:dyDescent="0.2">
      <c r="A52" s="337"/>
      <c r="B52" s="338"/>
      <c r="C52" s="338"/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9"/>
      <c r="W52" s="310"/>
      <c r="X52" s="310"/>
      <c r="AF52" s="58"/>
      <c r="AI52" s="151"/>
    </row>
    <row r="53" spans="1:35" s="56" customFormat="1" ht="15" customHeight="1" x14ac:dyDescent="0.2">
      <c r="A53" s="337"/>
      <c r="B53" s="338"/>
      <c r="C53" s="338"/>
      <c r="D53" s="338"/>
      <c r="E53" s="338"/>
      <c r="F53" s="338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9"/>
      <c r="W53" s="310"/>
      <c r="X53" s="310"/>
      <c r="AF53" s="58"/>
      <c r="AI53" s="151"/>
    </row>
    <row r="54" spans="1:35" s="56" customFormat="1" ht="15" customHeight="1" x14ac:dyDescent="0.2">
      <c r="A54" s="337"/>
      <c r="B54" s="338"/>
      <c r="C54" s="338"/>
      <c r="D54" s="338"/>
      <c r="E54" s="338"/>
      <c r="F54" s="338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9"/>
      <c r="W54" s="310"/>
      <c r="X54" s="310"/>
      <c r="AF54" s="58"/>
      <c r="AI54" s="151"/>
    </row>
    <row r="55" spans="1:35" s="56" customFormat="1" ht="15" customHeight="1" x14ac:dyDescent="0.2">
      <c r="A55" s="337"/>
      <c r="B55" s="338"/>
      <c r="C55" s="338"/>
      <c r="D55" s="338"/>
      <c r="E55" s="338"/>
      <c r="F55" s="338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9"/>
      <c r="W55" s="310"/>
      <c r="X55" s="310"/>
      <c r="AF55" s="58"/>
      <c r="AI55" s="151"/>
    </row>
    <row r="56" spans="1:35" s="56" customFormat="1" ht="15" customHeight="1" x14ac:dyDescent="0.2">
      <c r="A56" s="337"/>
      <c r="B56" s="338"/>
      <c r="C56" s="338"/>
      <c r="D56" s="338"/>
      <c r="E56" s="338"/>
      <c r="F56" s="338"/>
      <c r="G56" s="338"/>
      <c r="H56" s="338"/>
      <c r="I56" s="338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9"/>
      <c r="W56" s="310"/>
      <c r="X56" s="310"/>
      <c r="AF56" s="58"/>
      <c r="AI56" s="151"/>
    </row>
    <row r="57" spans="1:35" s="56" customFormat="1" ht="15" customHeight="1" x14ac:dyDescent="0.2">
      <c r="A57" s="337"/>
      <c r="B57" s="338"/>
      <c r="C57" s="338"/>
      <c r="D57" s="338"/>
      <c r="E57" s="338"/>
      <c r="F57" s="338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9"/>
      <c r="W57" s="310"/>
      <c r="X57" s="310"/>
      <c r="AF57" s="58"/>
      <c r="AI57" s="151"/>
    </row>
    <row r="58" spans="1:35" s="56" customFormat="1" ht="15" customHeight="1" x14ac:dyDescent="0.2">
      <c r="A58" s="337"/>
      <c r="B58" s="338"/>
      <c r="C58" s="338"/>
      <c r="D58" s="338"/>
      <c r="E58" s="338"/>
      <c r="F58" s="338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9"/>
      <c r="V58" s="116"/>
      <c r="W58" s="310"/>
      <c r="X58" s="310"/>
      <c r="AF58" s="58"/>
      <c r="AI58" s="151"/>
    </row>
    <row r="59" spans="1:35" s="56" customFormat="1" ht="15" customHeight="1" x14ac:dyDescent="0.2">
      <c r="A59" s="337"/>
      <c r="B59" s="338"/>
      <c r="C59" s="338"/>
      <c r="D59" s="338"/>
      <c r="E59" s="338"/>
      <c r="F59" s="338"/>
      <c r="G59" s="338"/>
      <c r="H59" s="338"/>
      <c r="I59" s="338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9"/>
      <c r="W59" s="310"/>
      <c r="X59" s="310"/>
      <c r="AF59" s="58"/>
      <c r="AI59" s="151"/>
    </row>
    <row r="60" spans="1:35" s="56" customFormat="1" ht="15" customHeight="1" x14ac:dyDescent="0.2">
      <c r="A60" s="337"/>
      <c r="B60" s="338"/>
      <c r="C60" s="338"/>
      <c r="D60" s="338"/>
      <c r="E60" s="338"/>
      <c r="F60" s="338"/>
      <c r="G60" s="338"/>
      <c r="H60" s="338"/>
      <c r="I60" s="338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9"/>
      <c r="W60" s="310"/>
      <c r="X60" s="310"/>
      <c r="AF60" s="58"/>
      <c r="AI60" s="151"/>
    </row>
    <row r="61" spans="1:35" s="56" customFormat="1" ht="15" hidden="1" customHeight="1" thickTop="1" x14ac:dyDescent="0.2">
      <c r="A61" s="337"/>
      <c r="B61" s="338"/>
      <c r="C61" s="338"/>
      <c r="D61" s="338"/>
      <c r="E61" s="338"/>
      <c r="F61" s="338"/>
      <c r="G61" s="338"/>
      <c r="H61" s="338"/>
      <c r="I61" s="338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9"/>
      <c r="W61" s="310"/>
      <c r="X61" s="310"/>
      <c r="AF61" s="58"/>
      <c r="AI61" s="151"/>
    </row>
    <row r="62" spans="1:35" s="56" customFormat="1" ht="15" hidden="1" customHeight="1" x14ac:dyDescent="0.2">
      <c r="A62" s="337"/>
      <c r="B62" s="338"/>
      <c r="C62" s="338"/>
      <c r="D62" s="338"/>
      <c r="E62" s="338"/>
      <c r="F62" s="338"/>
      <c r="G62" s="338"/>
      <c r="H62" s="338"/>
      <c r="I62" s="338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9"/>
      <c r="W62" s="310"/>
      <c r="X62" s="310"/>
      <c r="AF62" s="58"/>
      <c r="AI62" s="151"/>
    </row>
    <row r="63" spans="1:35" s="56" customFormat="1" ht="15" hidden="1" customHeight="1" x14ac:dyDescent="0.2">
      <c r="A63" s="337"/>
      <c r="B63" s="338"/>
      <c r="C63" s="338"/>
      <c r="D63" s="338"/>
      <c r="E63" s="338"/>
      <c r="F63" s="338"/>
      <c r="G63" s="338"/>
      <c r="H63" s="338"/>
      <c r="I63" s="338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9"/>
      <c r="W63" s="310"/>
      <c r="X63" s="310"/>
      <c r="AF63" s="58"/>
      <c r="AI63" s="151"/>
    </row>
    <row r="64" spans="1:35" s="56" customFormat="1" ht="15" hidden="1" customHeight="1" x14ac:dyDescent="0.2">
      <c r="A64" s="337"/>
      <c r="B64" s="338"/>
      <c r="C64" s="338"/>
      <c r="D64" s="338"/>
      <c r="E64" s="338"/>
      <c r="F64" s="338"/>
      <c r="G64" s="338"/>
      <c r="H64" s="338"/>
      <c r="I64" s="338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9"/>
      <c r="W64" s="310"/>
      <c r="X64" s="310"/>
      <c r="AF64" s="58"/>
      <c r="AI64" s="151"/>
    </row>
    <row r="65" spans="1:35" s="56" customFormat="1" ht="15" hidden="1" customHeight="1" x14ac:dyDescent="0.2">
      <c r="A65" s="337"/>
      <c r="B65" s="338"/>
      <c r="C65" s="338"/>
      <c r="D65" s="338"/>
      <c r="E65" s="338"/>
      <c r="F65" s="338"/>
      <c r="G65" s="338"/>
      <c r="H65" s="338"/>
      <c r="I65" s="338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9"/>
      <c r="W65" s="310"/>
      <c r="X65" s="310"/>
      <c r="AF65" s="58"/>
      <c r="AI65" s="151"/>
    </row>
    <row r="66" spans="1:35" s="56" customFormat="1" ht="15" hidden="1" customHeight="1" x14ac:dyDescent="0.2">
      <c r="A66" s="337"/>
      <c r="B66" s="338"/>
      <c r="C66" s="338"/>
      <c r="D66" s="338"/>
      <c r="E66" s="338"/>
      <c r="F66" s="338"/>
      <c r="G66" s="338"/>
      <c r="H66" s="338"/>
      <c r="I66" s="338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9"/>
      <c r="W66" s="310"/>
      <c r="X66" s="310"/>
      <c r="AF66" s="58"/>
      <c r="AI66" s="151"/>
    </row>
    <row r="67" spans="1:35" s="56" customFormat="1" ht="15" hidden="1" customHeight="1" x14ac:dyDescent="0.2">
      <c r="A67" s="337"/>
      <c r="B67" s="338"/>
      <c r="C67" s="338"/>
      <c r="D67" s="338"/>
      <c r="E67" s="338"/>
      <c r="F67" s="338"/>
      <c r="G67" s="338"/>
      <c r="H67" s="338"/>
      <c r="I67" s="338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9"/>
      <c r="W67" s="310"/>
      <c r="X67" s="310"/>
      <c r="AF67" s="58"/>
      <c r="AI67" s="151"/>
    </row>
    <row r="68" spans="1:35" s="56" customFormat="1" ht="15" hidden="1" customHeight="1" x14ac:dyDescent="0.2">
      <c r="A68" s="337"/>
      <c r="B68" s="338"/>
      <c r="C68" s="338"/>
      <c r="D68" s="338"/>
      <c r="E68" s="338"/>
      <c r="F68" s="338"/>
      <c r="G68" s="338"/>
      <c r="H68" s="338"/>
      <c r="I68" s="338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9"/>
      <c r="W68" s="310"/>
      <c r="X68" s="310"/>
      <c r="AF68" s="58"/>
      <c r="AI68" s="151"/>
    </row>
    <row r="69" spans="1:35" s="56" customFormat="1" ht="15" hidden="1" customHeight="1" thickBot="1" x14ac:dyDescent="0.25">
      <c r="A69" s="337"/>
      <c r="B69" s="338"/>
      <c r="C69" s="338"/>
      <c r="D69" s="338"/>
      <c r="E69" s="338"/>
      <c r="F69" s="338"/>
      <c r="G69" s="338"/>
      <c r="H69" s="338"/>
      <c r="I69" s="338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9"/>
      <c r="W69" s="310"/>
      <c r="X69" s="310"/>
      <c r="AF69" s="58"/>
      <c r="AI69" s="151"/>
    </row>
    <row r="70" spans="1:35" s="56" customFormat="1" ht="15" customHeight="1" x14ac:dyDescent="0.2">
      <c r="A70" s="337"/>
      <c r="B70" s="338"/>
      <c r="C70" s="338"/>
      <c r="D70" s="338"/>
      <c r="E70" s="338"/>
      <c r="F70" s="338"/>
      <c r="G70" s="338"/>
      <c r="H70" s="338"/>
      <c r="I70" s="338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9"/>
      <c r="AF70" s="58"/>
      <c r="AI70" s="151"/>
    </row>
    <row r="71" spans="1:35" s="56" customFormat="1" ht="15" customHeight="1" x14ac:dyDescent="0.2">
      <c r="A71" s="337"/>
      <c r="B71" s="338"/>
      <c r="C71" s="338"/>
      <c r="D71" s="338"/>
      <c r="E71" s="338"/>
      <c r="F71" s="338"/>
      <c r="G71" s="338"/>
      <c r="H71" s="338"/>
      <c r="I71" s="338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9"/>
      <c r="AF71" s="58"/>
      <c r="AI71" s="151"/>
    </row>
    <row r="72" spans="1:35" s="56" customFormat="1" ht="17.25" customHeight="1" x14ac:dyDescent="0.2">
      <c r="A72" s="337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9"/>
      <c r="AF72" s="58"/>
      <c r="AI72" s="151"/>
    </row>
    <row r="73" spans="1:35" s="56" customFormat="1" ht="15.95" customHeight="1" x14ac:dyDescent="0.2">
      <c r="A73" s="337"/>
      <c r="B73" s="338"/>
      <c r="C73" s="338"/>
      <c r="D73" s="338"/>
      <c r="E73" s="338"/>
      <c r="F73" s="338"/>
      <c r="G73" s="338"/>
      <c r="H73" s="338"/>
      <c r="I73" s="338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9"/>
      <c r="AF73" s="58"/>
      <c r="AI73" s="151"/>
    </row>
    <row r="74" spans="1:35" s="56" customFormat="1" ht="15.95" customHeight="1" x14ac:dyDescent="0.2">
      <c r="A74" s="337"/>
      <c r="B74" s="338"/>
      <c r="C74" s="338"/>
      <c r="D74" s="338"/>
      <c r="E74" s="338"/>
      <c r="F74" s="338"/>
      <c r="G74" s="338"/>
      <c r="H74" s="338"/>
      <c r="I74" s="338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9"/>
      <c r="AF74" s="58"/>
      <c r="AI74" s="151"/>
    </row>
    <row r="75" spans="1:35" s="56" customFormat="1" ht="15.95" customHeight="1" x14ac:dyDescent="0.2">
      <c r="A75" s="337"/>
      <c r="B75" s="338"/>
      <c r="C75" s="338"/>
      <c r="D75" s="338"/>
      <c r="E75" s="338"/>
      <c r="F75" s="338"/>
      <c r="G75" s="338"/>
      <c r="H75" s="338"/>
      <c r="I75" s="338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9"/>
      <c r="W75" s="309"/>
      <c r="X75" s="309"/>
      <c r="AF75" s="58"/>
      <c r="AI75" s="151"/>
    </row>
    <row r="76" spans="1:35" s="56" customFormat="1" ht="15.95" customHeight="1" x14ac:dyDescent="0.2">
      <c r="A76" s="337"/>
      <c r="B76" s="338"/>
      <c r="C76" s="338"/>
      <c r="D76" s="338"/>
      <c r="E76" s="338"/>
      <c r="F76" s="338"/>
      <c r="G76" s="338"/>
      <c r="H76" s="338"/>
      <c r="I76" s="338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9"/>
      <c r="W76" s="309"/>
      <c r="X76" s="309"/>
      <c r="AF76" s="58"/>
      <c r="AI76" s="151"/>
    </row>
    <row r="77" spans="1:35" s="56" customFormat="1" ht="15.95" customHeight="1" x14ac:dyDescent="0.2">
      <c r="A77" s="337"/>
      <c r="B77" s="338"/>
      <c r="C77" s="338"/>
      <c r="D77" s="338"/>
      <c r="E77" s="338"/>
      <c r="F77" s="338"/>
      <c r="G77" s="338"/>
      <c r="H77" s="338"/>
      <c r="I77" s="338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9"/>
      <c r="W77" s="308"/>
      <c r="X77" s="308"/>
      <c r="AF77" s="58"/>
      <c r="AI77" s="151"/>
    </row>
    <row r="78" spans="1:35" s="56" customFormat="1" ht="15" customHeight="1" x14ac:dyDescent="0.2">
      <c r="A78" s="337"/>
      <c r="B78" s="338"/>
      <c r="C78" s="338"/>
      <c r="D78" s="338"/>
      <c r="E78" s="338"/>
      <c r="F78" s="338"/>
      <c r="G78" s="338"/>
      <c r="H78" s="338"/>
      <c r="I78" s="338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9"/>
      <c r="W78" s="308"/>
      <c r="X78" s="308"/>
      <c r="AF78" s="58"/>
      <c r="AI78" s="151"/>
    </row>
    <row r="79" spans="1:35" s="56" customFormat="1" ht="15" customHeight="1" x14ac:dyDescent="0.2">
      <c r="A79" s="337"/>
      <c r="B79" s="338"/>
      <c r="C79" s="338"/>
      <c r="D79" s="338"/>
      <c r="E79" s="338"/>
      <c r="F79" s="338"/>
      <c r="G79" s="338"/>
      <c r="H79" s="338"/>
      <c r="I79" s="338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9"/>
      <c r="W79" s="308"/>
      <c r="X79" s="308"/>
      <c r="AF79" s="58"/>
      <c r="AI79" s="151"/>
    </row>
    <row r="80" spans="1:35" s="56" customFormat="1" ht="15" hidden="1" customHeight="1" thickBot="1" x14ac:dyDescent="0.25">
      <c r="A80" s="337"/>
      <c r="B80" s="338"/>
      <c r="C80" s="338"/>
      <c r="D80" s="338"/>
      <c r="E80" s="338"/>
      <c r="F80" s="338"/>
      <c r="G80" s="338"/>
      <c r="H80" s="338"/>
      <c r="I80" s="338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9"/>
      <c r="W80" s="308"/>
      <c r="X80" s="308"/>
      <c r="AF80" s="58"/>
      <c r="AI80" s="151"/>
    </row>
    <row r="81" spans="1:35" s="56" customFormat="1" ht="15" hidden="1" customHeight="1" x14ac:dyDescent="0.2">
      <c r="A81" s="337"/>
      <c r="B81" s="338"/>
      <c r="C81" s="338"/>
      <c r="D81" s="338"/>
      <c r="E81" s="338"/>
      <c r="F81" s="338"/>
      <c r="G81" s="338"/>
      <c r="H81" s="338"/>
      <c r="I81" s="338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9"/>
      <c r="W81" s="308"/>
      <c r="X81" s="308"/>
      <c r="AF81" s="58"/>
      <c r="AI81" s="151"/>
    </row>
    <row r="82" spans="1:35" s="56" customFormat="1" ht="15" hidden="1" customHeight="1" thickBot="1" x14ac:dyDescent="0.25">
      <c r="A82" s="337"/>
      <c r="B82" s="338"/>
      <c r="C82" s="338"/>
      <c r="D82" s="338"/>
      <c r="E82" s="338"/>
      <c r="F82" s="338"/>
      <c r="G82" s="338"/>
      <c r="H82" s="338"/>
      <c r="I82" s="338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9"/>
      <c r="W82" s="308"/>
      <c r="X82" s="308"/>
      <c r="AF82" s="58"/>
      <c r="AI82" s="151"/>
    </row>
    <row r="83" spans="1:35" s="56" customFormat="1" ht="15" hidden="1" customHeight="1" thickBot="1" x14ac:dyDescent="0.25">
      <c r="A83" s="337"/>
      <c r="B83" s="338"/>
      <c r="C83" s="338"/>
      <c r="D83" s="338"/>
      <c r="E83" s="338"/>
      <c r="F83" s="338"/>
      <c r="G83" s="338"/>
      <c r="H83" s="338"/>
      <c r="I83" s="338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9"/>
      <c r="W83" s="308"/>
      <c r="X83" s="308"/>
      <c r="AF83" s="58"/>
      <c r="AI83" s="151"/>
    </row>
    <row r="84" spans="1:35" s="56" customFormat="1" ht="15" hidden="1" customHeight="1" x14ac:dyDescent="0.2">
      <c r="A84" s="337"/>
      <c r="B84" s="338"/>
      <c r="C84" s="338"/>
      <c r="D84" s="338"/>
      <c r="E84" s="338"/>
      <c r="F84" s="338"/>
      <c r="G84" s="338"/>
      <c r="H84" s="338"/>
      <c r="I84" s="338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9"/>
      <c r="W84" s="308"/>
      <c r="X84" s="308"/>
      <c r="AF84" s="58"/>
      <c r="AI84" s="151"/>
    </row>
    <row r="85" spans="1:35" s="56" customFormat="1" ht="15" hidden="1" customHeight="1" thickBot="1" x14ac:dyDescent="0.25">
      <c r="A85" s="337"/>
      <c r="B85" s="338"/>
      <c r="C85" s="338"/>
      <c r="D85" s="338"/>
      <c r="E85" s="338"/>
      <c r="F85" s="338"/>
      <c r="G85" s="338"/>
      <c r="H85" s="338"/>
      <c r="I85" s="338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9"/>
      <c r="W85" s="308"/>
      <c r="X85" s="308"/>
      <c r="AF85" s="58"/>
      <c r="AI85" s="151"/>
    </row>
    <row r="86" spans="1:35" s="56" customFormat="1" ht="15" customHeight="1" x14ac:dyDescent="0.2">
      <c r="A86" s="337"/>
      <c r="B86" s="338"/>
      <c r="C86" s="338"/>
      <c r="D86" s="338"/>
      <c r="E86" s="338"/>
      <c r="F86" s="338"/>
      <c r="G86" s="338"/>
      <c r="H86" s="338"/>
      <c r="I86" s="338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9"/>
      <c r="W86" s="308"/>
      <c r="X86" s="308"/>
      <c r="AF86" s="58"/>
      <c r="AI86" s="151"/>
    </row>
    <row r="87" spans="1:35" s="56" customFormat="1" ht="15" customHeight="1" x14ac:dyDescent="0.2">
      <c r="A87" s="337"/>
      <c r="B87" s="338"/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9"/>
      <c r="W87" s="308"/>
      <c r="X87" s="308"/>
      <c r="AF87" s="58"/>
      <c r="AI87" s="151"/>
    </row>
    <row r="88" spans="1:35" s="56" customFormat="1" ht="15" customHeight="1" x14ac:dyDescent="0.2">
      <c r="A88" s="337"/>
      <c r="B88" s="338"/>
      <c r="C88" s="338"/>
      <c r="D88" s="338"/>
      <c r="E88" s="338"/>
      <c r="F88" s="338"/>
      <c r="G88" s="338"/>
      <c r="H88" s="338"/>
      <c r="I88" s="338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9"/>
      <c r="W88" s="285"/>
      <c r="AF88" s="58"/>
      <c r="AI88" s="151"/>
    </row>
    <row r="89" spans="1:35" s="56" customFormat="1" ht="15" customHeight="1" x14ac:dyDescent="0.2">
      <c r="A89" s="337"/>
      <c r="B89" s="338"/>
      <c r="C89" s="338"/>
      <c r="D89" s="338"/>
      <c r="E89" s="338"/>
      <c r="F89" s="338"/>
      <c r="G89" s="338"/>
      <c r="H89" s="338"/>
      <c r="I89" s="338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9"/>
      <c r="W89" s="286"/>
      <c r="AF89" s="58"/>
      <c r="AI89" s="151"/>
    </row>
    <row r="90" spans="1:35" s="56" customFormat="1" ht="15" customHeight="1" x14ac:dyDescent="0.2">
      <c r="A90" s="337"/>
      <c r="B90" s="338"/>
      <c r="C90" s="338"/>
      <c r="D90" s="338"/>
      <c r="E90" s="338"/>
      <c r="F90" s="338"/>
      <c r="G90" s="338"/>
      <c r="H90" s="338"/>
      <c r="I90" s="338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9"/>
      <c r="W90" s="287"/>
      <c r="AF90" s="58"/>
      <c r="AI90" s="151"/>
    </row>
    <row r="91" spans="1:35" s="56" customFormat="1" ht="15" customHeight="1" x14ac:dyDescent="0.2">
      <c r="A91" s="337"/>
      <c r="B91" s="338"/>
      <c r="C91" s="338"/>
      <c r="D91" s="338"/>
      <c r="E91" s="338"/>
      <c r="F91" s="338"/>
      <c r="G91" s="338"/>
      <c r="H91" s="338"/>
      <c r="I91" s="338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9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37"/>
      <c r="B92" s="338"/>
      <c r="C92" s="338"/>
      <c r="D92" s="338"/>
      <c r="E92" s="338"/>
      <c r="F92" s="338"/>
      <c r="G92" s="338"/>
      <c r="H92" s="338"/>
      <c r="I92" s="338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9"/>
      <c r="W92" s="307"/>
      <c r="X92" s="307"/>
      <c r="Y92" s="307"/>
      <c r="Z92" s="307"/>
      <c r="AA92" s="307"/>
      <c r="AB92" s="307"/>
    </row>
    <row r="93" spans="1:35" ht="15" customHeight="1" x14ac:dyDescent="0.2">
      <c r="A93" s="337"/>
      <c r="B93" s="338"/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9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37"/>
      <c r="B94" s="338"/>
      <c r="C94" s="338"/>
      <c r="D94" s="338"/>
      <c r="E94" s="338"/>
      <c r="F94" s="338"/>
      <c r="G94" s="338"/>
      <c r="H94" s="338"/>
      <c r="I94" s="338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9"/>
      <c r="W94" s="327"/>
      <c r="AF94" s="44"/>
      <c r="AI94" s="149"/>
    </row>
    <row r="95" spans="1:35" s="43" customFormat="1" ht="15" customHeight="1" x14ac:dyDescent="0.3">
      <c r="A95" s="337"/>
      <c r="B95" s="338"/>
      <c r="C95" s="338"/>
      <c r="D95" s="338"/>
      <c r="E95" s="338"/>
      <c r="F95" s="338"/>
      <c r="G95" s="338"/>
      <c r="H95" s="338"/>
      <c r="I95" s="338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9"/>
      <c r="W95" s="327"/>
      <c r="AF95" s="44"/>
      <c r="AI95" s="149"/>
    </row>
    <row r="96" spans="1:35" s="43" customFormat="1" ht="15" customHeight="1" x14ac:dyDescent="0.3">
      <c r="A96" s="337"/>
      <c r="B96" s="338"/>
      <c r="C96" s="338"/>
      <c r="D96" s="338"/>
      <c r="E96" s="338"/>
      <c r="F96" s="338"/>
      <c r="G96" s="338"/>
      <c r="H96" s="338"/>
      <c r="I96" s="338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9"/>
      <c r="W96" s="327"/>
      <c r="AF96" s="44"/>
      <c r="AI96" s="149"/>
    </row>
    <row r="97" spans="1:35" s="43" customFormat="1" ht="15" customHeight="1" x14ac:dyDescent="0.3">
      <c r="A97" s="337"/>
      <c r="B97" s="338"/>
      <c r="C97" s="338"/>
      <c r="D97" s="338"/>
      <c r="E97" s="338"/>
      <c r="F97" s="338"/>
      <c r="G97" s="338"/>
      <c r="H97" s="338"/>
      <c r="I97" s="338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9"/>
      <c r="W97" s="327"/>
      <c r="AF97" s="44"/>
      <c r="AI97" s="149"/>
    </row>
    <row r="98" spans="1:35" s="43" customFormat="1" ht="15" customHeight="1" x14ac:dyDescent="0.3">
      <c r="A98" s="337"/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9"/>
      <c r="AF98" s="44"/>
      <c r="AI98" s="149"/>
    </row>
    <row r="99" spans="1:35" ht="15" customHeight="1" x14ac:dyDescent="0.2">
      <c r="A99" s="337"/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9"/>
    </row>
    <row r="100" spans="1:35" ht="15" customHeight="1" x14ac:dyDescent="0.2">
      <c r="A100" s="337"/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9"/>
    </row>
    <row r="101" spans="1:35" ht="15" customHeight="1" thickBot="1" x14ac:dyDescent="0.25">
      <c r="A101" s="340"/>
      <c r="B101" s="341"/>
      <c r="C101" s="341"/>
      <c r="D101" s="341"/>
      <c r="E101" s="341"/>
      <c r="F101" s="341"/>
      <c r="G101" s="341"/>
      <c r="H101" s="341"/>
      <c r="I101" s="341"/>
      <c r="J101" s="341"/>
      <c r="K101" s="341"/>
      <c r="L101" s="341"/>
      <c r="M101" s="341"/>
      <c r="N101" s="341"/>
      <c r="O101" s="341"/>
      <c r="P101" s="341"/>
      <c r="Q101" s="341"/>
      <c r="R101" s="341"/>
      <c r="S101" s="341"/>
      <c r="T101" s="341"/>
      <c r="U101" s="342"/>
    </row>
    <row r="102" spans="1:35" ht="18" customHeight="1" x14ac:dyDescent="0.25">
      <c r="A102" s="419" t="s">
        <v>1326</v>
      </c>
      <c r="B102" s="420"/>
      <c r="C102" s="421"/>
      <c r="D102" s="421"/>
      <c r="E102" s="421"/>
      <c r="F102" s="422"/>
      <c r="G102" s="419" t="s">
        <v>1327</v>
      </c>
      <c r="H102" s="420"/>
      <c r="I102" s="423"/>
      <c r="J102" s="423"/>
      <c r="K102" s="423"/>
      <c r="L102" s="423"/>
      <c r="M102" s="424"/>
      <c r="N102" s="419" t="s">
        <v>1328</v>
      </c>
      <c r="O102" s="420"/>
      <c r="P102" s="423"/>
      <c r="Q102" s="423"/>
      <c r="R102" s="423"/>
      <c r="S102" s="423"/>
      <c r="T102" s="423"/>
      <c r="U102" s="424"/>
    </row>
    <row r="103" spans="1:35" ht="18" customHeight="1" thickBot="1" x14ac:dyDescent="0.3">
      <c r="A103" s="425"/>
      <c r="B103" s="426"/>
      <c r="C103" s="426"/>
      <c r="D103" s="426"/>
      <c r="E103" s="426"/>
      <c r="F103" s="427"/>
      <c r="G103" s="425"/>
      <c r="H103" s="426"/>
      <c r="I103" s="426"/>
      <c r="J103" s="426"/>
      <c r="K103" s="426"/>
      <c r="L103" s="426"/>
      <c r="M103" s="427"/>
      <c r="N103" s="425"/>
      <c r="O103" s="426"/>
      <c r="P103" s="426"/>
      <c r="Q103" s="426"/>
      <c r="R103" s="426"/>
      <c r="S103" s="426"/>
      <c r="T103" s="426"/>
      <c r="U103" s="427"/>
    </row>
    <row r="104" spans="1:35" ht="19.899999999999999" customHeight="1" x14ac:dyDescent="0.2">
      <c r="A104" s="415" t="s">
        <v>1329</v>
      </c>
      <c r="B104" s="416"/>
      <c r="C104" s="416"/>
      <c r="D104" s="416"/>
      <c r="E104" s="416"/>
      <c r="F104" s="416"/>
      <c r="G104" s="416"/>
      <c r="H104" s="416"/>
      <c r="I104" s="417" t="s">
        <v>1338</v>
      </c>
      <c r="J104" s="417"/>
      <c r="K104" s="417"/>
      <c r="L104" s="417"/>
      <c r="M104" s="417"/>
      <c r="N104" s="417"/>
      <c r="O104" s="417"/>
      <c r="P104" s="417"/>
      <c r="Q104" s="417"/>
      <c r="R104" s="417"/>
      <c r="S104" s="417"/>
      <c r="T104" s="417"/>
      <c r="U104" s="418"/>
    </row>
    <row r="105" spans="1:35" ht="19.899999999999999" customHeight="1" x14ac:dyDescent="0.2">
      <c r="A105" s="409"/>
      <c r="B105" s="410"/>
      <c r="C105" s="410"/>
      <c r="D105" s="410"/>
      <c r="E105" s="410"/>
      <c r="F105" s="410"/>
      <c r="G105" s="410"/>
      <c r="H105" s="410"/>
      <c r="I105" s="410"/>
      <c r="J105" s="410"/>
      <c r="K105" s="410"/>
      <c r="L105" s="410"/>
      <c r="M105" s="410"/>
      <c r="N105" s="410"/>
      <c r="O105" s="410"/>
      <c r="P105" s="410"/>
      <c r="Q105" s="410"/>
      <c r="R105" s="410"/>
      <c r="S105" s="410"/>
      <c r="T105" s="410"/>
      <c r="U105" s="411"/>
    </row>
    <row r="106" spans="1:35" ht="19.899999999999999" customHeight="1" x14ac:dyDescent="0.2">
      <c r="A106" s="409"/>
      <c r="B106" s="410"/>
      <c r="C106" s="410"/>
      <c r="D106" s="410"/>
      <c r="E106" s="410"/>
      <c r="F106" s="410"/>
      <c r="G106" s="410"/>
      <c r="H106" s="410"/>
      <c r="I106" s="410"/>
      <c r="J106" s="410"/>
      <c r="K106" s="410"/>
      <c r="L106" s="410"/>
      <c r="M106" s="410"/>
      <c r="N106" s="410"/>
      <c r="O106" s="410"/>
      <c r="P106" s="410"/>
      <c r="Q106" s="410"/>
      <c r="R106" s="410"/>
      <c r="S106" s="410"/>
      <c r="T106" s="410"/>
      <c r="U106" s="411"/>
    </row>
    <row r="107" spans="1:35" ht="19.899999999999999" customHeight="1" x14ac:dyDescent="0.2">
      <c r="A107" s="409"/>
      <c r="B107" s="410"/>
      <c r="C107" s="410"/>
      <c r="D107" s="410"/>
      <c r="E107" s="410"/>
      <c r="F107" s="410"/>
      <c r="G107" s="410"/>
      <c r="H107" s="410"/>
      <c r="I107" s="410"/>
      <c r="J107" s="410"/>
      <c r="K107" s="410"/>
      <c r="L107" s="410"/>
      <c r="M107" s="410"/>
      <c r="N107" s="410"/>
      <c r="O107" s="410"/>
      <c r="P107" s="410"/>
      <c r="Q107" s="410"/>
      <c r="R107" s="410"/>
      <c r="S107" s="410"/>
      <c r="T107" s="410"/>
      <c r="U107" s="411"/>
    </row>
    <row r="108" spans="1:35" ht="19.899999999999999" customHeight="1" thickBot="1" x14ac:dyDescent="0.25">
      <c r="A108" s="412"/>
      <c r="B108" s="413"/>
      <c r="C108" s="413"/>
      <c r="D108" s="413"/>
      <c r="E108" s="413"/>
      <c r="F108" s="413"/>
      <c r="G108" s="413"/>
      <c r="H108" s="413"/>
      <c r="I108" s="413"/>
      <c r="J108" s="413"/>
      <c r="K108" s="413"/>
      <c r="L108" s="413"/>
      <c r="M108" s="413"/>
      <c r="N108" s="413"/>
      <c r="O108" s="413"/>
      <c r="P108" s="413"/>
      <c r="Q108" s="413"/>
      <c r="R108" s="413"/>
      <c r="S108" s="413"/>
      <c r="T108" s="413"/>
      <c r="U108" s="414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77" zoomScaleNormal="100" workbookViewId="0">
      <selection activeCell="J105" sqref="J105:K105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794" t="s">
        <v>1337</v>
      </c>
      <c r="C1" s="795"/>
      <c r="D1" s="793"/>
      <c r="E1" s="796" t="s">
        <v>12</v>
      </c>
      <c r="F1" s="797"/>
      <c r="G1" s="798"/>
      <c r="H1" s="792" t="s">
        <v>1339</v>
      </c>
      <c r="I1" s="793"/>
      <c r="J1" s="799" t="s">
        <v>1323</v>
      </c>
      <c r="K1" s="799"/>
      <c r="L1" s="799"/>
      <c r="M1" s="800" t="s">
        <v>1340</v>
      </c>
      <c r="N1" s="800"/>
      <c r="O1" s="326" t="s">
        <v>1348</v>
      </c>
      <c r="P1" s="801"/>
      <c r="Q1" s="799"/>
      <c r="R1" s="323"/>
      <c r="S1" s="324"/>
      <c r="T1" s="808" t="s">
        <v>22</v>
      </c>
      <c r="U1" s="809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617" t="s">
        <v>46</v>
      </c>
      <c r="B2" s="726" t="s">
        <v>1357</v>
      </c>
      <c r="C2" s="727"/>
      <c r="D2" s="727"/>
      <c r="E2" s="727"/>
      <c r="F2" s="728"/>
      <c r="G2" s="721" t="s">
        <v>1341</v>
      </c>
      <c r="H2" s="722"/>
      <c r="I2" s="722"/>
      <c r="J2" s="722"/>
      <c r="K2" s="722"/>
      <c r="L2" s="722"/>
      <c r="M2" s="723"/>
      <c r="N2" s="804" t="s">
        <v>5</v>
      </c>
      <c r="O2" s="805"/>
      <c r="P2" s="810" t="s">
        <v>1310</v>
      </c>
      <c r="Q2" s="810"/>
      <c r="R2" s="810"/>
      <c r="S2" s="811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712"/>
      <c r="B3" s="729" t="str">
        <f>CONCATENATE(AG2,AG3)</f>
        <v/>
      </c>
      <c r="C3" s="730"/>
      <c r="D3" s="730"/>
      <c r="E3" s="730"/>
      <c r="F3" s="731"/>
      <c r="G3" s="716" t="str">
        <f>IF(IFERROR(FIND("PURO",G2,1),0)&gt;1,"",IF(IFERROR(FIND("MPG",G2,1),0)&gt;1,"",SUBSTITUTE(G2,"NN","CC",1)))</f>
        <v/>
      </c>
      <c r="H3" s="717"/>
      <c r="I3" s="717"/>
      <c r="J3" s="717"/>
      <c r="K3" s="717"/>
      <c r="L3" s="717"/>
      <c r="M3" s="718"/>
      <c r="N3" s="806" t="s">
        <v>5</v>
      </c>
      <c r="O3" s="807"/>
      <c r="P3" s="802"/>
      <c r="Q3" s="802"/>
      <c r="R3" s="802"/>
      <c r="S3" s="803"/>
      <c r="T3" s="780" t="s">
        <v>1352</v>
      </c>
      <c r="U3" s="781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732"/>
      <c r="B4" s="494"/>
      <c r="C4" s="494"/>
      <c r="D4" s="494"/>
      <c r="E4" s="494"/>
      <c r="F4" s="494"/>
      <c r="G4" s="495"/>
      <c r="H4" s="46"/>
      <c r="I4" s="47"/>
      <c r="J4" s="719" t="s">
        <v>11</v>
      </c>
      <c r="K4" s="720"/>
      <c r="L4" s="713" t="s">
        <v>751</v>
      </c>
      <c r="M4" s="649"/>
      <c r="N4" s="648"/>
      <c r="O4" s="649"/>
      <c r="P4" s="648"/>
      <c r="Q4" s="649"/>
      <c r="R4" s="648"/>
      <c r="S4" s="649"/>
      <c r="T4" s="648"/>
      <c r="U4" s="812"/>
      <c r="V4" s="333"/>
      <c r="W4" s="333" t="s">
        <v>1360</v>
      </c>
    </row>
    <row r="5" spans="1:35" ht="17.100000000000001" customHeight="1" thickBot="1" x14ac:dyDescent="0.25">
      <c r="A5" s="733"/>
      <c r="B5" s="724" t="s">
        <v>47</v>
      </c>
      <c r="C5" s="724"/>
      <c r="D5" s="724"/>
      <c r="E5" s="724"/>
      <c r="F5" s="724"/>
      <c r="G5" s="725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714" t="s">
        <v>1358</v>
      </c>
      <c r="M5" s="715"/>
      <c r="N5" s="650"/>
      <c r="O5" s="651"/>
      <c r="P5" s="650"/>
      <c r="Q5" s="651"/>
      <c r="R5" s="650"/>
      <c r="S5" s="651"/>
      <c r="T5" s="650"/>
      <c r="U5" s="737"/>
      <c r="W5" s="53"/>
    </row>
    <row r="6" spans="1:35" s="56" customFormat="1" ht="15" customHeight="1" x14ac:dyDescent="0.3">
      <c r="A6" s="616" t="s">
        <v>2</v>
      </c>
      <c r="B6" s="813" t="s">
        <v>659</v>
      </c>
      <c r="C6" s="814"/>
      <c r="D6" s="814"/>
      <c r="E6" s="814"/>
      <c r="F6" s="814"/>
      <c r="G6" s="815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657"/>
      <c r="M6" s="658"/>
      <c r="N6" s="467"/>
      <c r="O6" s="468"/>
      <c r="P6" s="467"/>
      <c r="Q6" s="468"/>
      <c r="R6" s="467"/>
      <c r="S6" s="468"/>
      <c r="T6" s="467"/>
      <c r="U6" s="613"/>
      <c r="W6" s="373"/>
      <c r="X6" s="373"/>
      <c r="Z6" s="57" t="s">
        <v>1308</v>
      </c>
      <c r="AA6" s="610" t="s">
        <v>1336</v>
      </c>
      <c r="AB6" s="611"/>
      <c r="AC6" s="612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617"/>
      <c r="B7" s="59" t="str">
        <f>IF(B6="","","TELA 1:")</f>
        <v>TELA 1:</v>
      </c>
      <c r="C7" s="646" t="s">
        <v>1345</v>
      </c>
      <c r="D7" s="646"/>
      <c r="E7" s="646"/>
      <c r="F7" s="646"/>
      <c r="G7" s="647"/>
      <c r="H7" s="60"/>
      <c r="I7" s="61"/>
      <c r="J7" s="227"/>
      <c r="K7" s="228"/>
      <c r="L7" s="665" t="s">
        <v>1342</v>
      </c>
      <c r="M7" s="595"/>
      <c r="N7" s="547"/>
      <c r="O7" s="546"/>
      <c r="P7" s="547"/>
      <c r="Q7" s="546"/>
      <c r="R7" s="547"/>
      <c r="S7" s="546"/>
      <c r="T7" s="547"/>
      <c r="U7" s="608"/>
      <c r="W7" s="373"/>
      <c r="X7" s="373"/>
      <c r="Z7" s="62" t="s">
        <v>20</v>
      </c>
      <c r="AA7" s="586" t="str">
        <f>CONCATENATE(T3,"-",B1,"-",E1," ",H1,"-",M1," ",O1,"-",P1)</f>
        <v>D55-I23-GRISINO MPG-CONJUNTO 01-</v>
      </c>
      <c r="AB7" s="586"/>
      <c r="AC7" s="587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617"/>
      <c r="B8" s="639" t="s">
        <v>659</v>
      </c>
      <c r="C8" s="640"/>
      <c r="D8" s="640"/>
      <c r="E8" s="640"/>
      <c r="F8" s="640"/>
      <c r="G8" s="641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657"/>
      <c r="M8" s="658"/>
      <c r="N8" s="467"/>
      <c r="O8" s="468"/>
      <c r="P8" s="467"/>
      <c r="Q8" s="468"/>
      <c r="R8" s="467"/>
      <c r="S8" s="468"/>
      <c r="T8" s="467"/>
      <c r="U8" s="613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617"/>
      <c r="B9" s="59" t="str">
        <f>IF(B8="","","TELA 2:")</f>
        <v>TELA 2:</v>
      </c>
      <c r="C9" s="646" t="s">
        <v>1349</v>
      </c>
      <c r="D9" s="646"/>
      <c r="E9" s="646"/>
      <c r="F9" s="646"/>
      <c r="G9" s="647"/>
      <c r="H9" s="66"/>
      <c r="I9" s="67"/>
      <c r="J9" s="231"/>
      <c r="K9" s="232"/>
      <c r="L9" s="665" t="s">
        <v>751</v>
      </c>
      <c r="M9" s="595"/>
      <c r="N9" s="547"/>
      <c r="O9" s="546"/>
      <c r="P9" s="547"/>
      <c r="Q9" s="546"/>
      <c r="R9" s="547"/>
      <c r="S9" s="546"/>
      <c r="T9" s="547"/>
      <c r="U9" s="608"/>
      <c r="W9" s="372"/>
      <c r="X9" s="372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617"/>
      <c r="B10" s="639" t="s">
        <v>659</v>
      </c>
      <c r="C10" s="640"/>
      <c r="D10" s="640"/>
      <c r="E10" s="640"/>
      <c r="F10" s="640"/>
      <c r="G10" s="641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657"/>
      <c r="M10" s="658"/>
      <c r="N10" s="467"/>
      <c r="O10" s="468"/>
      <c r="P10" s="467"/>
      <c r="Q10" s="468"/>
      <c r="R10" s="467"/>
      <c r="S10" s="468"/>
      <c r="T10" s="467"/>
      <c r="U10" s="613"/>
      <c r="W10" s="372"/>
      <c r="X10" s="372"/>
      <c r="Z10" s="57" t="s">
        <v>1309</v>
      </c>
      <c r="AA10" s="610" t="s">
        <v>1344</v>
      </c>
      <c r="AB10" s="611"/>
      <c r="AC10" s="612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617"/>
      <c r="B11" s="59" t="str">
        <f>IF(B10="","","TELA 3:")</f>
        <v>TELA 3:</v>
      </c>
      <c r="C11" s="646" t="s">
        <v>1346</v>
      </c>
      <c r="D11" s="646"/>
      <c r="E11" s="646"/>
      <c r="F11" s="646"/>
      <c r="G11" s="647"/>
      <c r="H11" s="66"/>
      <c r="I11" s="67"/>
      <c r="J11" s="231"/>
      <c r="K11" s="232"/>
      <c r="L11" s="665" t="s">
        <v>751</v>
      </c>
      <c r="M11" s="595"/>
      <c r="N11" s="547"/>
      <c r="O11" s="546"/>
      <c r="P11" s="547"/>
      <c r="Q11" s="546"/>
      <c r="R11" s="547"/>
      <c r="S11" s="546"/>
      <c r="T11" s="547"/>
      <c r="U11" s="608"/>
      <c r="W11" s="65"/>
      <c r="X11" s="65"/>
      <c r="Z11" s="62" t="s">
        <v>20</v>
      </c>
      <c r="AA11" s="586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586"/>
      <c r="AC11" s="587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617"/>
      <c r="B12" s="639" t="s">
        <v>659</v>
      </c>
      <c r="C12" s="640"/>
      <c r="D12" s="640"/>
      <c r="E12" s="640"/>
      <c r="F12" s="640"/>
      <c r="G12" s="641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663"/>
      <c r="M12" s="664"/>
      <c r="N12" s="592"/>
      <c r="O12" s="593"/>
      <c r="P12" s="592"/>
      <c r="Q12" s="593"/>
      <c r="R12" s="592"/>
      <c r="S12" s="593"/>
      <c r="T12" s="592"/>
      <c r="U12" s="60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617"/>
      <c r="B13" s="59" t="str">
        <f>IF(B12="","","TELA 4:")</f>
        <v>TELA 4:</v>
      </c>
      <c r="C13" s="646" t="s">
        <v>1347</v>
      </c>
      <c r="D13" s="646"/>
      <c r="E13" s="646"/>
      <c r="F13" s="646"/>
      <c r="G13" s="647"/>
      <c r="H13" s="66"/>
      <c r="I13" s="67"/>
      <c r="J13" s="231"/>
      <c r="K13" s="232"/>
      <c r="L13" s="665" t="s">
        <v>1342</v>
      </c>
      <c r="M13" s="595"/>
      <c r="N13" s="547"/>
      <c r="O13" s="546"/>
      <c r="P13" s="547"/>
      <c r="Q13" s="546"/>
      <c r="R13" s="547"/>
      <c r="S13" s="546"/>
      <c r="T13" s="547"/>
      <c r="U13" s="608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617"/>
      <c r="B14" s="639" t="s">
        <v>659</v>
      </c>
      <c r="C14" s="640"/>
      <c r="D14" s="640"/>
      <c r="E14" s="640"/>
      <c r="F14" s="640"/>
      <c r="G14" s="641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663"/>
      <c r="M14" s="664"/>
      <c r="N14" s="786" t="s">
        <v>1351</v>
      </c>
      <c r="O14" s="787"/>
      <c r="P14" s="787"/>
      <c r="Q14" s="787"/>
      <c r="R14" s="787"/>
      <c r="S14" s="787"/>
      <c r="T14" s="787"/>
      <c r="U14" s="788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617"/>
      <c r="B15" s="59" t="str">
        <f>IF(B14="","","TELA 5:")</f>
        <v>TELA 5:</v>
      </c>
      <c r="C15" s="646" t="s">
        <v>1350</v>
      </c>
      <c r="D15" s="646"/>
      <c r="E15" s="646"/>
      <c r="F15" s="646"/>
      <c r="G15" s="647"/>
      <c r="H15" s="66"/>
      <c r="I15" s="67"/>
      <c r="J15" s="231"/>
      <c r="K15" s="232"/>
      <c r="L15" s="665" t="s">
        <v>1342</v>
      </c>
      <c r="M15" s="595"/>
      <c r="N15" s="789"/>
      <c r="O15" s="790"/>
      <c r="P15" s="790"/>
      <c r="Q15" s="790"/>
      <c r="R15" s="790"/>
      <c r="S15" s="790"/>
      <c r="T15" s="790"/>
      <c r="U15" s="791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617"/>
      <c r="B16" s="639"/>
      <c r="C16" s="640"/>
      <c r="D16" s="640"/>
      <c r="E16" s="640"/>
      <c r="F16" s="640"/>
      <c r="G16" s="641"/>
      <c r="H16" s="63"/>
      <c r="I16" s="68" t="str">
        <f>IFERROR(VLOOKUP(B16,TELAS!C:D,2,0),"")</f>
        <v/>
      </c>
      <c r="J16" s="229"/>
      <c r="K16" s="230"/>
      <c r="L16" s="663"/>
      <c r="M16" s="664"/>
      <c r="N16" s="592"/>
      <c r="O16" s="593"/>
      <c r="P16" s="592"/>
      <c r="Q16" s="593"/>
      <c r="R16" s="592"/>
      <c r="S16" s="593"/>
      <c r="T16" s="592"/>
      <c r="U16" s="60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617"/>
      <c r="B17" s="59" t="str">
        <f>IF(B16="","","TELA 6:")</f>
        <v/>
      </c>
      <c r="C17" s="646"/>
      <c r="D17" s="646"/>
      <c r="E17" s="646"/>
      <c r="F17" s="646"/>
      <c r="G17" s="647"/>
      <c r="H17" s="66"/>
      <c r="I17" s="67"/>
      <c r="J17" s="231"/>
      <c r="K17" s="232"/>
      <c r="L17" s="665"/>
      <c r="M17" s="595"/>
      <c r="N17" s="547"/>
      <c r="O17" s="546"/>
      <c r="P17" s="547"/>
      <c r="Q17" s="546"/>
      <c r="R17" s="547"/>
      <c r="S17" s="546"/>
      <c r="T17" s="547"/>
      <c r="U17" s="608"/>
      <c r="X17" s="69"/>
      <c r="Y17" s="71"/>
      <c r="AF17" s="58"/>
      <c r="AI17" s="151"/>
    </row>
    <row r="18" spans="1:35" s="56" customFormat="1" ht="15" customHeight="1" x14ac:dyDescent="0.2">
      <c r="A18" s="617"/>
      <c r="B18" s="639"/>
      <c r="C18" s="640"/>
      <c r="D18" s="640"/>
      <c r="E18" s="640"/>
      <c r="F18" s="640"/>
      <c r="G18" s="641"/>
      <c r="H18" s="63"/>
      <c r="I18" s="68" t="str">
        <f>IFERROR(VLOOKUP(B18,TELAS!C:D,2,0),"")</f>
        <v/>
      </c>
      <c r="J18" s="229"/>
      <c r="K18" s="230"/>
      <c r="L18" s="663"/>
      <c r="M18" s="664"/>
      <c r="N18" s="592"/>
      <c r="O18" s="593"/>
      <c r="P18" s="592"/>
      <c r="Q18" s="593"/>
      <c r="R18" s="592"/>
      <c r="S18" s="593"/>
      <c r="T18" s="592"/>
      <c r="U18" s="609"/>
      <c r="X18" s="69"/>
      <c r="Y18" s="71"/>
      <c r="AF18" s="58"/>
      <c r="AI18" s="151"/>
    </row>
    <row r="19" spans="1:35" s="56" customFormat="1" ht="15" customHeight="1" x14ac:dyDescent="0.2">
      <c r="A19" s="617"/>
      <c r="B19" s="59" t="str">
        <f>IF(B18="","","TELA 7:")</f>
        <v/>
      </c>
      <c r="C19" s="646"/>
      <c r="D19" s="646"/>
      <c r="E19" s="646"/>
      <c r="F19" s="646"/>
      <c r="G19" s="647"/>
      <c r="H19" s="66"/>
      <c r="I19" s="67"/>
      <c r="J19" s="231"/>
      <c r="K19" s="232"/>
      <c r="L19" s="665"/>
      <c r="M19" s="595"/>
      <c r="N19" s="547"/>
      <c r="O19" s="546"/>
      <c r="P19" s="547"/>
      <c r="Q19" s="546"/>
      <c r="R19" s="547"/>
      <c r="S19" s="546"/>
      <c r="T19" s="547"/>
      <c r="U19" s="608"/>
      <c r="W19" s="325"/>
      <c r="X19" s="69"/>
      <c r="Y19" s="71"/>
      <c r="AF19" s="58"/>
      <c r="AI19" s="151"/>
    </row>
    <row r="20" spans="1:35" s="56" customFormat="1" ht="15" customHeight="1" x14ac:dyDescent="0.2">
      <c r="A20" s="617"/>
      <c r="B20" s="639"/>
      <c r="C20" s="640"/>
      <c r="D20" s="640"/>
      <c r="E20" s="640"/>
      <c r="F20" s="640"/>
      <c r="G20" s="641"/>
      <c r="H20" s="63"/>
      <c r="I20" s="68" t="str">
        <f>IFERROR(VLOOKUP(B20,TELAS!C:D,2,0),"")</f>
        <v/>
      </c>
      <c r="J20" s="229"/>
      <c r="K20" s="230"/>
      <c r="L20" s="657"/>
      <c r="M20" s="658"/>
      <c r="N20" s="467"/>
      <c r="O20" s="468"/>
      <c r="P20" s="467"/>
      <c r="Q20" s="468"/>
      <c r="R20" s="467"/>
      <c r="S20" s="468"/>
      <c r="T20" s="467"/>
      <c r="U20" s="613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617"/>
      <c r="B21" s="70" t="str">
        <f>IF(B20="","","TELA 8:")</f>
        <v/>
      </c>
      <c r="C21" s="569"/>
      <c r="D21" s="569"/>
      <c r="E21" s="569"/>
      <c r="F21" s="569"/>
      <c r="G21" s="570"/>
      <c r="H21" s="60"/>
      <c r="I21" s="61"/>
      <c r="J21" s="156"/>
      <c r="K21" s="233"/>
      <c r="L21" s="657"/>
      <c r="M21" s="658"/>
      <c r="N21" s="467"/>
      <c r="O21" s="468"/>
      <c r="P21" s="467"/>
      <c r="Q21" s="468"/>
      <c r="R21" s="467"/>
      <c r="S21" s="468"/>
      <c r="T21" s="467"/>
      <c r="U21" s="613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18" t="s">
        <v>6</v>
      </c>
      <c r="B22" s="642" t="s">
        <v>190</v>
      </c>
      <c r="C22" s="643"/>
      <c r="D22" s="643"/>
      <c r="E22" s="643"/>
      <c r="F22" s="643"/>
      <c r="G22" s="644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54" t="s">
        <v>1361</v>
      </c>
      <c r="M22" s="655"/>
      <c r="N22" s="655"/>
      <c r="O22" s="655"/>
      <c r="P22" s="655"/>
      <c r="Q22" s="655"/>
      <c r="R22" s="655"/>
      <c r="S22" s="655"/>
      <c r="T22" s="655"/>
      <c r="U22" s="656"/>
      <c r="W22" s="599" t="s">
        <v>810</v>
      </c>
      <c r="X22" s="600"/>
      <c r="Y22" s="71"/>
    </row>
    <row r="23" spans="1:35" ht="15" customHeight="1" thickBot="1" x14ac:dyDescent="0.25">
      <c r="A23" s="619"/>
      <c r="B23" s="636" t="s">
        <v>1353</v>
      </c>
      <c r="C23" s="637"/>
      <c r="D23" s="637"/>
      <c r="E23" s="637"/>
      <c r="F23" s="637"/>
      <c r="G23" s="638"/>
      <c r="H23" s="60"/>
      <c r="I23" s="61"/>
      <c r="J23" s="156"/>
      <c r="K23" s="52"/>
      <c r="L23" s="738"/>
      <c r="M23" s="739"/>
      <c r="N23" s="666"/>
      <c r="O23" s="742"/>
      <c r="P23" s="666"/>
      <c r="Q23" s="742"/>
      <c r="R23" s="666"/>
      <c r="S23" s="742"/>
      <c r="T23" s="666"/>
      <c r="U23" s="667"/>
      <c r="W23" s="601"/>
      <c r="X23" s="602"/>
    </row>
    <row r="24" spans="1:35" s="56" customFormat="1" ht="15" customHeight="1" x14ac:dyDescent="0.2">
      <c r="A24" s="619"/>
      <c r="B24" s="633"/>
      <c r="C24" s="634"/>
      <c r="D24" s="634"/>
      <c r="E24" s="634"/>
      <c r="F24" s="634"/>
      <c r="G24" s="635"/>
      <c r="H24" s="63"/>
      <c r="I24" s="74"/>
      <c r="J24" s="236"/>
      <c r="K24" s="237"/>
      <c r="L24" s="705"/>
      <c r="M24" s="706"/>
      <c r="N24" s="596"/>
      <c r="O24" s="597"/>
      <c r="P24" s="596"/>
      <c r="Q24" s="597"/>
      <c r="R24" s="596"/>
      <c r="S24" s="597"/>
      <c r="T24" s="596"/>
      <c r="U24" s="598"/>
      <c r="W24" s="603" t="s">
        <v>811</v>
      </c>
      <c r="X24" s="604"/>
      <c r="AF24" s="58"/>
      <c r="AI24" s="151"/>
    </row>
    <row r="25" spans="1:35" s="56" customFormat="1" ht="15" customHeight="1" thickBot="1" x14ac:dyDescent="0.25">
      <c r="A25" s="620"/>
      <c r="B25" s="734"/>
      <c r="C25" s="735"/>
      <c r="D25" s="735"/>
      <c r="E25" s="735"/>
      <c r="F25" s="735"/>
      <c r="G25" s="736"/>
      <c r="H25" s="75"/>
      <c r="I25" s="76"/>
      <c r="J25" s="238"/>
      <c r="K25" s="239"/>
      <c r="L25" s="740"/>
      <c r="M25" s="741"/>
      <c r="N25" s="652"/>
      <c r="O25" s="711"/>
      <c r="P25" s="652"/>
      <c r="Q25" s="711"/>
      <c r="R25" s="652"/>
      <c r="S25" s="711"/>
      <c r="T25" s="652"/>
      <c r="U25" s="653"/>
      <c r="W25" s="605"/>
      <c r="X25" s="606"/>
      <c r="AF25" s="58"/>
      <c r="AI25" s="151"/>
    </row>
    <row r="26" spans="1:35" s="56" customFormat="1" ht="15" customHeight="1" x14ac:dyDescent="0.2">
      <c r="A26" s="618" t="s">
        <v>0</v>
      </c>
      <c r="B26" s="642" t="s">
        <v>222</v>
      </c>
      <c r="C26" s="643"/>
      <c r="D26" s="643"/>
      <c r="E26" s="643"/>
      <c r="F26" s="643"/>
      <c r="G26" s="644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54" t="s">
        <v>1361</v>
      </c>
      <c r="M26" s="655"/>
      <c r="N26" s="655"/>
      <c r="O26" s="655"/>
      <c r="P26" s="655"/>
      <c r="Q26" s="655"/>
      <c r="R26" s="655"/>
      <c r="S26" s="655"/>
      <c r="T26" s="655"/>
      <c r="U26" s="656"/>
      <c r="W26" s="588" t="s">
        <v>147</v>
      </c>
      <c r="X26" s="589"/>
      <c r="AF26" s="58"/>
      <c r="AI26" s="151"/>
    </row>
    <row r="27" spans="1:35" s="56" customFormat="1" ht="15" customHeight="1" thickBot="1" x14ac:dyDescent="0.25">
      <c r="A27" s="619"/>
      <c r="B27" s="636"/>
      <c r="C27" s="637"/>
      <c r="D27" s="637"/>
      <c r="E27" s="637"/>
      <c r="F27" s="637"/>
      <c r="G27" s="638"/>
      <c r="H27" s="60"/>
      <c r="I27" s="77"/>
      <c r="J27" s="156"/>
      <c r="K27" s="52"/>
      <c r="L27" s="698"/>
      <c r="M27" s="699"/>
      <c r="N27" s="699"/>
      <c r="O27" s="699"/>
      <c r="P27" s="699"/>
      <c r="Q27" s="699"/>
      <c r="R27" s="699"/>
      <c r="S27" s="699"/>
      <c r="T27" s="699"/>
      <c r="U27" s="700"/>
      <c r="W27" s="588"/>
      <c r="X27" s="589"/>
      <c r="AF27" s="58"/>
      <c r="AI27" s="151"/>
    </row>
    <row r="28" spans="1:35" s="56" customFormat="1" ht="15" customHeight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158" t="s">
        <v>1355</v>
      </c>
      <c r="J28" s="332">
        <v>1</v>
      </c>
      <c r="K28" s="332">
        <v>1</v>
      </c>
      <c r="L28" s="654" t="s">
        <v>1361</v>
      </c>
      <c r="M28" s="655"/>
      <c r="N28" s="655"/>
      <c r="O28" s="655"/>
      <c r="P28" s="655"/>
      <c r="Q28" s="655"/>
      <c r="R28" s="655"/>
      <c r="S28" s="655"/>
      <c r="T28" s="655"/>
      <c r="U28" s="656"/>
      <c r="W28" s="588"/>
      <c r="X28" s="589"/>
      <c r="AF28" s="58"/>
      <c r="AI28" s="151"/>
    </row>
    <row r="29" spans="1:35" s="56" customFormat="1" ht="15" customHeight="1" x14ac:dyDescent="0.2">
      <c r="A29" s="619"/>
      <c r="B29" s="645" t="s">
        <v>1354</v>
      </c>
      <c r="C29" s="646"/>
      <c r="D29" s="646"/>
      <c r="E29" s="646"/>
      <c r="F29" s="646"/>
      <c r="G29" s="647"/>
      <c r="H29" s="159"/>
      <c r="I29" s="129"/>
      <c r="J29" s="271"/>
      <c r="K29" s="52"/>
      <c r="L29" s="665"/>
      <c r="M29" s="595"/>
      <c r="N29" s="594"/>
      <c r="O29" s="595"/>
      <c r="P29" s="594"/>
      <c r="Q29" s="595"/>
      <c r="R29" s="594"/>
      <c r="S29" s="595"/>
      <c r="T29" s="594"/>
      <c r="U29" s="607"/>
      <c r="W29" s="588"/>
      <c r="X29" s="589"/>
      <c r="AF29" s="58"/>
      <c r="AI29" s="151"/>
    </row>
    <row r="30" spans="1:35" s="56" customFormat="1" ht="15" customHeight="1" x14ac:dyDescent="0.2">
      <c r="A30" s="619"/>
      <c r="B30" s="639"/>
      <c r="C30" s="640"/>
      <c r="D30" s="640"/>
      <c r="E30" s="640"/>
      <c r="F30" s="640"/>
      <c r="G30" s="641"/>
      <c r="H30" s="63"/>
      <c r="I30" s="68"/>
      <c r="J30" s="236"/>
      <c r="K30" s="237"/>
      <c r="L30" s="691"/>
      <c r="M30" s="597"/>
      <c r="N30" s="596"/>
      <c r="O30" s="597"/>
      <c r="P30" s="596"/>
      <c r="Q30" s="597"/>
      <c r="R30" s="596"/>
      <c r="S30" s="597"/>
      <c r="T30" s="596"/>
      <c r="U30" s="598"/>
      <c r="W30" s="588"/>
      <c r="X30" s="589"/>
      <c r="AF30" s="58"/>
      <c r="AI30" s="151"/>
    </row>
    <row r="31" spans="1:35" s="56" customFormat="1" ht="15" customHeight="1" x14ac:dyDescent="0.2">
      <c r="A31" s="619"/>
      <c r="B31" s="636"/>
      <c r="C31" s="637"/>
      <c r="D31" s="637"/>
      <c r="E31" s="637"/>
      <c r="F31" s="637"/>
      <c r="G31" s="638"/>
      <c r="H31" s="60"/>
      <c r="I31" s="61"/>
      <c r="J31" s="156"/>
      <c r="K31" s="52"/>
      <c r="L31" s="665"/>
      <c r="M31" s="595"/>
      <c r="N31" s="594"/>
      <c r="O31" s="595"/>
      <c r="P31" s="594"/>
      <c r="Q31" s="595"/>
      <c r="R31" s="594"/>
      <c r="S31" s="595"/>
      <c r="T31" s="594"/>
      <c r="U31" s="607"/>
      <c r="W31" s="588"/>
      <c r="X31" s="589"/>
      <c r="AF31" s="58"/>
      <c r="AI31" s="151"/>
    </row>
    <row r="32" spans="1:35" s="56" customFormat="1" ht="15" customHeight="1" x14ac:dyDescent="0.2">
      <c r="A32" s="619"/>
      <c r="B32" s="633"/>
      <c r="C32" s="634"/>
      <c r="D32" s="634"/>
      <c r="E32" s="634"/>
      <c r="F32" s="634"/>
      <c r="G32" s="635"/>
      <c r="H32" s="63"/>
      <c r="I32" s="74"/>
      <c r="J32" s="236"/>
      <c r="K32" s="237"/>
      <c r="L32" s="691"/>
      <c r="M32" s="597"/>
      <c r="N32" s="596"/>
      <c r="O32" s="597"/>
      <c r="P32" s="596"/>
      <c r="Q32" s="597"/>
      <c r="R32" s="596"/>
      <c r="S32" s="597"/>
      <c r="T32" s="596"/>
      <c r="U32" s="598"/>
      <c r="W32" s="588"/>
      <c r="X32" s="589"/>
      <c r="AF32" s="58"/>
      <c r="AI32" s="151"/>
    </row>
    <row r="33" spans="1:35" s="56" customFormat="1" ht="15" customHeight="1" x14ac:dyDescent="0.2">
      <c r="A33" s="619"/>
      <c r="B33" s="636"/>
      <c r="C33" s="637"/>
      <c r="D33" s="637"/>
      <c r="E33" s="637"/>
      <c r="F33" s="637"/>
      <c r="G33" s="638"/>
      <c r="H33" s="60"/>
      <c r="I33" s="78"/>
      <c r="J33" s="156"/>
      <c r="K33" s="52"/>
      <c r="L33" s="665"/>
      <c r="M33" s="595"/>
      <c r="N33" s="594"/>
      <c r="O33" s="595"/>
      <c r="P33" s="594"/>
      <c r="Q33" s="595"/>
      <c r="R33" s="594"/>
      <c r="S33" s="595"/>
      <c r="T33" s="594"/>
      <c r="U33" s="607"/>
      <c r="W33" s="588"/>
      <c r="X33" s="589"/>
      <c r="AF33" s="58"/>
      <c r="AI33" s="151"/>
    </row>
    <row r="34" spans="1:35" s="56" customFormat="1" ht="15" customHeight="1" x14ac:dyDescent="0.2">
      <c r="A34" s="619"/>
      <c r="B34" s="633"/>
      <c r="C34" s="634"/>
      <c r="D34" s="634"/>
      <c r="E34" s="634"/>
      <c r="F34" s="634"/>
      <c r="G34" s="635"/>
      <c r="H34" s="63"/>
      <c r="I34" s="74"/>
      <c r="J34" s="236"/>
      <c r="K34" s="237"/>
      <c r="L34" s="691"/>
      <c r="M34" s="597"/>
      <c r="N34" s="596"/>
      <c r="O34" s="597"/>
      <c r="P34" s="596"/>
      <c r="Q34" s="597"/>
      <c r="R34" s="596"/>
      <c r="S34" s="597"/>
      <c r="T34" s="596"/>
      <c r="U34" s="598"/>
      <c r="W34" s="588"/>
      <c r="X34" s="589"/>
      <c r="AF34" s="58"/>
      <c r="AI34" s="151"/>
    </row>
    <row r="35" spans="1:35" s="56" customFormat="1" ht="15" customHeight="1" thickBot="1" x14ac:dyDescent="0.25">
      <c r="A35" s="619"/>
      <c r="B35" s="636"/>
      <c r="C35" s="637"/>
      <c r="D35" s="637"/>
      <c r="E35" s="637"/>
      <c r="F35" s="637"/>
      <c r="G35" s="638"/>
      <c r="H35" s="60"/>
      <c r="I35" s="78"/>
      <c r="J35" s="156"/>
      <c r="K35" s="52"/>
      <c r="L35" s="665"/>
      <c r="M35" s="595"/>
      <c r="N35" s="594"/>
      <c r="O35" s="595"/>
      <c r="P35" s="594"/>
      <c r="Q35" s="595"/>
      <c r="R35" s="594"/>
      <c r="S35" s="595"/>
      <c r="T35" s="594"/>
      <c r="U35" s="607"/>
      <c r="W35" s="590"/>
      <c r="X35" s="591"/>
      <c r="AF35" s="58"/>
      <c r="AI35" s="151"/>
    </row>
    <row r="36" spans="1:35" s="56" customFormat="1" ht="15" customHeight="1" thickTop="1" x14ac:dyDescent="0.25">
      <c r="A36" s="619"/>
      <c r="B36" s="476" t="s">
        <v>37</v>
      </c>
      <c r="C36" s="477"/>
      <c r="D36" s="477"/>
      <c r="E36" s="477"/>
      <c r="F36" s="477"/>
      <c r="G36" s="478"/>
      <c r="H36" s="79" t="s">
        <v>788</v>
      </c>
      <c r="I36" s="80" t="s">
        <v>160</v>
      </c>
      <c r="J36" s="263">
        <v>1</v>
      </c>
      <c r="K36" s="264">
        <v>1</v>
      </c>
      <c r="L36" s="660" t="s">
        <v>751</v>
      </c>
      <c r="M36" s="473"/>
      <c r="N36" s="689"/>
      <c r="O36" s="492"/>
      <c r="P36" s="689"/>
      <c r="Q36" s="492"/>
      <c r="R36" s="689"/>
      <c r="S36" s="492"/>
      <c r="T36" s="689"/>
      <c r="U36" s="690"/>
      <c r="W36" s="773" t="s">
        <v>148</v>
      </c>
      <c r="X36" s="774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19"/>
      <c r="B37" s="482" t="s">
        <v>716</v>
      </c>
      <c r="C37" s="483"/>
      <c r="D37" s="483"/>
      <c r="E37" s="483"/>
      <c r="F37" s="483"/>
      <c r="G37" s="484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775"/>
      <c r="X37" s="776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19"/>
      <c r="B38" s="707"/>
      <c r="C38" s="708"/>
      <c r="D38" s="708"/>
      <c r="E38" s="708"/>
      <c r="F38" s="708"/>
      <c r="G38" s="709"/>
      <c r="H38" s="668" t="s">
        <v>36</v>
      </c>
      <c r="I38" s="669"/>
      <c r="J38" s="669"/>
      <c r="K38" s="670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775"/>
      <c r="X38" s="776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19"/>
      <c r="B39" s="695"/>
      <c r="C39" s="696"/>
      <c r="D39" s="696"/>
      <c r="E39" s="696"/>
      <c r="F39" s="696"/>
      <c r="G39" s="697"/>
      <c r="H39" s="692" t="s">
        <v>40</v>
      </c>
      <c r="I39" s="693"/>
      <c r="J39" s="693"/>
      <c r="K39" s="69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775"/>
      <c r="X39" s="776"/>
      <c r="AB39" s="87"/>
      <c r="AF39" s="58"/>
      <c r="AI39" s="151"/>
    </row>
    <row r="40" spans="1:35" s="56" customFormat="1" ht="15" customHeight="1" x14ac:dyDescent="0.25">
      <c r="A40" s="619"/>
      <c r="B40" s="476"/>
      <c r="C40" s="477"/>
      <c r="D40" s="477"/>
      <c r="E40" s="477"/>
      <c r="F40" s="477"/>
      <c r="G40" s="478"/>
      <c r="H40" s="79"/>
      <c r="I40" s="94"/>
      <c r="J40" s="240"/>
      <c r="K40" s="237"/>
      <c r="L40" s="491"/>
      <c r="M40" s="492"/>
      <c r="N40" s="472"/>
      <c r="O40" s="473"/>
      <c r="P40" s="472"/>
      <c r="Q40" s="473"/>
      <c r="R40" s="472"/>
      <c r="S40" s="473"/>
      <c r="T40" s="472"/>
      <c r="U40" s="662"/>
      <c r="W40" s="775"/>
      <c r="X40" s="776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19"/>
      <c r="B41" s="474"/>
      <c r="C41" s="428"/>
      <c r="D41" s="428"/>
      <c r="E41" s="428"/>
      <c r="F41" s="428"/>
      <c r="G41" s="475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775"/>
      <c r="X41" s="776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19"/>
      <c r="B42" s="493"/>
      <c r="C42" s="494"/>
      <c r="D42" s="494"/>
      <c r="E42" s="494"/>
      <c r="F42" s="494"/>
      <c r="G42" s="495"/>
      <c r="H42" s="485"/>
      <c r="I42" s="485"/>
      <c r="J42" s="485"/>
      <c r="K42" s="486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775"/>
      <c r="X42" s="776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19"/>
      <c r="B43" s="496"/>
      <c r="C43" s="497"/>
      <c r="D43" s="497"/>
      <c r="E43" s="497"/>
      <c r="F43" s="497"/>
      <c r="G43" s="498"/>
      <c r="H43" s="487"/>
      <c r="I43" s="487"/>
      <c r="J43" s="487"/>
      <c r="K43" s="488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775"/>
      <c r="X43" s="776"/>
      <c r="AB43" s="87"/>
      <c r="AF43" s="58"/>
      <c r="AI43" s="151"/>
    </row>
    <row r="44" spans="1:35" s="56" customFormat="1" ht="15" customHeight="1" x14ac:dyDescent="0.2">
      <c r="A44" s="619"/>
      <c r="B44" s="476"/>
      <c r="C44" s="477"/>
      <c r="D44" s="477"/>
      <c r="E44" s="477"/>
      <c r="F44" s="477"/>
      <c r="G44" s="478"/>
      <c r="H44" s="79"/>
      <c r="I44" s="94"/>
      <c r="J44" s="240"/>
      <c r="K44" s="237"/>
      <c r="L44" s="491"/>
      <c r="M44" s="492"/>
      <c r="N44" s="472"/>
      <c r="O44" s="473"/>
      <c r="P44" s="472"/>
      <c r="Q44" s="473"/>
      <c r="R44" s="472"/>
      <c r="S44" s="473"/>
      <c r="T44" s="472"/>
      <c r="U44" s="662"/>
      <c r="W44" s="775"/>
      <c r="X44" s="776"/>
      <c r="AB44" s="87"/>
      <c r="AF44" s="58"/>
      <c r="AI44" s="151"/>
    </row>
    <row r="45" spans="1:35" s="56" customFormat="1" ht="15" customHeight="1" x14ac:dyDescent="0.2">
      <c r="A45" s="619"/>
      <c r="B45" s="474"/>
      <c r="C45" s="428"/>
      <c r="D45" s="428"/>
      <c r="E45" s="428"/>
      <c r="F45" s="428"/>
      <c r="G45" s="475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775"/>
      <c r="X45" s="776"/>
      <c r="AB45" s="87"/>
      <c r="AF45" s="58"/>
      <c r="AI45" s="151"/>
    </row>
    <row r="46" spans="1:35" s="56" customFormat="1" ht="15" customHeight="1" x14ac:dyDescent="0.2">
      <c r="A46" s="619"/>
      <c r="B46" s="493"/>
      <c r="C46" s="494"/>
      <c r="D46" s="494"/>
      <c r="E46" s="494"/>
      <c r="F46" s="494"/>
      <c r="G46" s="495"/>
      <c r="H46" s="485"/>
      <c r="I46" s="485"/>
      <c r="J46" s="485"/>
      <c r="K46" s="486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775"/>
      <c r="X46" s="776"/>
      <c r="AF46" s="58"/>
      <c r="AI46" s="151"/>
    </row>
    <row r="47" spans="1:35" s="56" customFormat="1" ht="15" customHeight="1" thickBot="1" x14ac:dyDescent="0.25">
      <c r="A47" s="619"/>
      <c r="B47" s="496"/>
      <c r="C47" s="497"/>
      <c r="D47" s="497"/>
      <c r="E47" s="497"/>
      <c r="F47" s="497"/>
      <c r="G47" s="498"/>
      <c r="H47" s="487"/>
      <c r="I47" s="487"/>
      <c r="J47" s="487"/>
      <c r="K47" s="488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775"/>
      <c r="X47" s="776"/>
      <c r="Z47" s="56" t="s">
        <v>792</v>
      </c>
      <c r="AF47" s="58"/>
      <c r="AI47" s="151"/>
    </row>
    <row r="48" spans="1:35" s="56" customFormat="1" ht="15" hidden="1" customHeight="1" x14ac:dyDescent="0.2">
      <c r="A48" s="619"/>
      <c r="B48" s="476"/>
      <c r="C48" s="477"/>
      <c r="D48" s="477"/>
      <c r="E48" s="477"/>
      <c r="F48" s="477"/>
      <c r="G48" s="478"/>
      <c r="H48" s="63"/>
      <c r="I48" s="94"/>
      <c r="J48" s="81"/>
      <c r="K48" s="82"/>
      <c r="L48" s="491"/>
      <c r="M48" s="492"/>
      <c r="N48" s="472"/>
      <c r="O48" s="473"/>
      <c r="P48" s="472"/>
      <c r="Q48" s="473"/>
      <c r="R48" s="472"/>
      <c r="S48" s="473"/>
      <c r="T48" s="472"/>
      <c r="U48" s="662"/>
      <c r="W48" s="775"/>
      <c r="X48" s="776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19"/>
      <c r="B49" s="474"/>
      <c r="C49" s="428"/>
      <c r="D49" s="428"/>
      <c r="E49" s="428"/>
      <c r="F49" s="428"/>
      <c r="G49" s="475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775"/>
      <c r="X49" s="776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19"/>
      <c r="B50" s="493"/>
      <c r="C50" s="494"/>
      <c r="D50" s="494"/>
      <c r="E50" s="494"/>
      <c r="F50" s="494"/>
      <c r="G50" s="495"/>
      <c r="H50" s="485"/>
      <c r="I50" s="485"/>
      <c r="J50" s="485"/>
      <c r="K50" s="486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775"/>
      <c r="X50" s="776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19"/>
      <c r="B51" s="496"/>
      <c r="C51" s="497"/>
      <c r="D51" s="497"/>
      <c r="E51" s="497"/>
      <c r="F51" s="497"/>
      <c r="G51" s="498"/>
      <c r="H51" s="487"/>
      <c r="I51" s="487"/>
      <c r="J51" s="487"/>
      <c r="K51" s="488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775"/>
      <c r="X51" s="776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19"/>
      <c r="B52" s="476"/>
      <c r="C52" s="477"/>
      <c r="D52" s="477"/>
      <c r="E52" s="477"/>
      <c r="F52" s="477"/>
      <c r="G52" s="478"/>
      <c r="H52" s="63"/>
      <c r="I52" s="94"/>
      <c r="J52" s="240"/>
      <c r="K52" s="237"/>
      <c r="L52" s="491"/>
      <c r="M52" s="492"/>
      <c r="N52" s="472"/>
      <c r="O52" s="473"/>
      <c r="P52" s="472"/>
      <c r="Q52" s="473"/>
      <c r="R52" s="472"/>
      <c r="S52" s="473"/>
      <c r="T52" s="472"/>
      <c r="U52" s="662"/>
      <c r="W52" s="775"/>
      <c r="X52" s="776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19"/>
      <c r="B53" s="702"/>
      <c r="C53" s="703"/>
      <c r="D53" s="703"/>
      <c r="E53" s="703"/>
      <c r="F53" s="703"/>
      <c r="G53" s="70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775"/>
      <c r="X53" s="776"/>
      <c r="AF53" s="58"/>
      <c r="AI53" s="151"/>
    </row>
    <row r="54" spans="1:35" s="56" customFormat="1" ht="15" hidden="1" customHeight="1" x14ac:dyDescent="0.2">
      <c r="A54" s="619"/>
      <c r="B54" s="493"/>
      <c r="C54" s="494"/>
      <c r="D54" s="494"/>
      <c r="E54" s="494"/>
      <c r="F54" s="494"/>
      <c r="G54" s="495"/>
      <c r="H54" s="485"/>
      <c r="I54" s="485"/>
      <c r="J54" s="485"/>
      <c r="K54" s="486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775"/>
      <c r="X54" s="776"/>
      <c r="AF54" s="58"/>
      <c r="AI54" s="151"/>
    </row>
    <row r="55" spans="1:35" s="56" customFormat="1" ht="15" hidden="1" customHeight="1" thickBot="1" x14ac:dyDescent="0.25">
      <c r="A55" s="619"/>
      <c r="B55" s="496"/>
      <c r="C55" s="497"/>
      <c r="D55" s="497"/>
      <c r="E55" s="497"/>
      <c r="F55" s="497"/>
      <c r="G55" s="498"/>
      <c r="H55" s="487"/>
      <c r="I55" s="487"/>
      <c r="J55" s="487"/>
      <c r="K55" s="488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777"/>
      <c r="X55" s="778"/>
      <c r="AF55" s="58"/>
      <c r="AI55" s="151"/>
    </row>
    <row r="56" spans="1:35" s="56" customFormat="1" ht="15" customHeight="1" thickTop="1" x14ac:dyDescent="0.2">
      <c r="A56" s="619"/>
      <c r="B56" s="479"/>
      <c r="C56" s="480"/>
      <c r="D56" s="480"/>
      <c r="E56" s="480"/>
      <c r="F56" s="480"/>
      <c r="G56" s="481"/>
      <c r="H56" s="110"/>
      <c r="I56" s="111"/>
      <c r="J56" s="745"/>
      <c r="K56" s="748"/>
      <c r="L56" s="542"/>
      <c r="M56" s="490"/>
      <c r="N56" s="489"/>
      <c r="O56" s="490"/>
      <c r="P56" s="489"/>
      <c r="Q56" s="490"/>
      <c r="R56" s="489"/>
      <c r="S56" s="490"/>
      <c r="T56" s="516"/>
      <c r="U56" s="517"/>
      <c r="W56" s="769" t="s">
        <v>143</v>
      </c>
      <c r="X56" s="770"/>
      <c r="AF56" s="58"/>
      <c r="AI56" s="151"/>
    </row>
    <row r="57" spans="1:35" s="56" customFormat="1" ht="15" customHeight="1" x14ac:dyDescent="0.2">
      <c r="A57" s="619"/>
      <c r="B57" s="482"/>
      <c r="C57" s="483"/>
      <c r="D57" s="483"/>
      <c r="E57" s="483"/>
      <c r="F57" s="483"/>
      <c r="G57" s="484"/>
      <c r="H57" s="112"/>
      <c r="I57" s="113"/>
      <c r="J57" s="746"/>
      <c r="K57" s="749"/>
      <c r="L57" s="471"/>
      <c r="M57" s="468"/>
      <c r="N57" s="467"/>
      <c r="O57" s="468"/>
      <c r="P57" s="467"/>
      <c r="Q57" s="468"/>
      <c r="R57" s="467"/>
      <c r="S57" s="468"/>
      <c r="T57" s="507"/>
      <c r="U57" s="508"/>
      <c r="W57" s="771"/>
      <c r="X57" s="772"/>
      <c r="AF57" s="58"/>
      <c r="AI57" s="151"/>
    </row>
    <row r="58" spans="1:35" s="56" customFormat="1" ht="15" customHeight="1" x14ac:dyDescent="0.2">
      <c r="A58" s="619"/>
      <c r="B58" s="482"/>
      <c r="C58" s="483"/>
      <c r="D58" s="483"/>
      <c r="E58" s="483"/>
      <c r="F58" s="483"/>
      <c r="G58" s="484"/>
      <c r="H58" s="112"/>
      <c r="I58" s="113"/>
      <c r="J58" s="746"/>
      <c r="K58" s="749"/>
      <c r="L58" s="545"/>
      <c r="M58" s="546"/>
      <c r="N58" s="547"/>
      <c r="O58" s="546"/>
      <c r="P58" s="547"/>
      <c r="Q58" s="546"/>
      <c r="R58" s="547"/>
      <c r="S58" s="546"/>
      <c r="T58" s="511"/>
      <c r="U58" s="512"/>
      <c r="W58" s="771"/>
      <c r="X58" s="772"/>
      <c r="AF58" s="58"/>
      <c r="AI58" s="151"/>
    </row>
    <row r="59" spans="1:35" s="56" customFormat="1" ht="15" customHeight="1" x14ac:dyDescent="0.2">
      <c r="A59" s="619"/>
      <c r="B59" s="454"/>
      <c r="C59" s="455"/>
      <c r="D59" s="455"/>
      <c r="E59" s="455"/>
      <c r="F59" s="455"/>
      <c r="G59" s="456"/>
      <c r="H59" s="112"/>
      <c r="I59" s="113"/>
      <c r="J59" s="746"/>
      <c r="K59" s="749"/>
      <c r="L59" s="513"/>
      <c r="M59" s="514"/>
      <c r="N59" s="701"/>
      <c r="O59" s="514"/>
      <c r="P59" s="701"/>
      <c r="Q59" s="514"/>
      <c r="R59" s="701"/>
      <c r="S59" s="514"/>
      <c r="T59" s="743"/>
      <c r="U59" s="744"/>
      <c r="W59" s="771"/>
      <c r="X59" s="772"/>
      <c r="AF59" s="58"/>
      <c r="AI59" s="151"/>
    </row>
    <row r="60" spans="1:35" s="56" customFormat="1" ht="15" customHeight="1" x14ac:dyDescent="0.2">
      <c r="A60" s="619"/>
      <c r="B60" s="502"/>
      <c r="C60" s="503"/>
      <c r="D60" s="503"/>
      <c r="E60" s="503"/>
      <c r="F60" s="503"/>
      <c r="G60" s="504"/>
      <c r="H60" s="112"/>
      <c r="I60" s="113"/>
      <c r="J60" s="746"/>
      <c r="K60" s="749"/>
      <c r="L60" s="543"/>
      <c r="M60" s="458"/>
      <c r="N60" s="457"/>
      <c r="O60" s="458"/>
      <c r="P60" s="457"/>
      <c r="Q60" s="458"/>
      <c r="R60" s="457"/>
      <c r="S60" s="458"/>
      <c r="T60" s="509"/>
      <c r="U60" s="510"/>
      <c r="W60" s="771"/>
      <c r="X60" s="772"/>
      <c r="AF60" s="58"/>
      <c r="AI60" s="151"/>
    </row>
    <row r="61" spans="1:35" s="56" customFormat="1" ht="15" customHeight="1" x14ac:dyDescent="0.2">
      <c r="A61" s="619"/>
      <c r="B61" s="357"/>
      <c r="C61" s="358"/>
      <c r="D61" s="358"/>
      <c r="E61" s="358"/>
      <c r="F61" s="358"/>
      <c r="G61" s="544"/>
      <c r="H61" s="114"/>
      <c r="I61" s="113"/>
      <c r="J61" s="746"/>
      <c r="K61" s="749"/>
      <c r="L61" s="469"/>
      <c r="M61" s="470"/>
      <c r="N61" s="710"/>
      <c r="O61" s="470"/>
      <c r="P61" s="710"/>
      <c r="Q61" s="470"/>
      <c r="R61" s="710"/>
      <c r="S61" s="470"/>
      <c r="T61" s="518"/>
      <c r="U61" s="519"/>
      <c r="W61" s="771"/>
      <c r="X61" s="772"/>
      <c r="AF61" s="58"/>
      <c r="AI61" s="151"/>
    </row>
    <row r="62" spans="1:35" s="56" customFormat="1" ht="15" customHeight="1" x14ac:dyDescent="0.2">
      <c r="A62" s="619"/>
      <c r="B62" s="357"/>
      <c r="C62" s="358"/>
      <c r="D62" s="358"/>
      <c r="E62" s="358"/>
      <c r="F62" s="358"/>
      <c r="G62" s="544"/>
      <c r="H62" s="114"/>
      <c r="I62" s="113"/>
      <c r="J62" s="746"/>
      <c r="K62" s="749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771"/>
      <c r="X62" s="772"/>
      <c r="AF62" s="58"/>
      <c r="AI62" s="151"/>
    </row>
    <row r="63" spans="1:35" s="56" customFormat="1" ht="15" customHeight="1" x14ac:dyDescent="0.2">
      <c r="A63" s="619"/>
      <c r="B63" s="499"/>
      <c r="C63" s="500"/>
      <c r="D63" s="500"/>
      <c r="E63" s="500"/>
      <c r="F63" s="500"/>
      <c r="G63" s="501"/>
      <c r="H63" s="114"/>
      <c r="I63" s="113"/>
      <c r="J63" s="746"/>
      <c r="K63" s="749"/>
      <c r="L63" s="785"/>
      <c r="M63" s="465"/>
      <c r="N63" s="465"/>
      <c r="O63" s="465"/>
      <c r="P63" s="465"/>
      <c r="Q63" s="465"/>
      <c r="R63" s="465"/>
      <c r="S63" s="465"/>
      <c r="T63" s="465"/>
      <c r="U63" s="756"/>
      <c r="W63" s="771"/>
      <c r="X63" s="772"/>
      <c r="AF63" s="58"/>
      <c r="AI63" s="151"/>
    </row>
    <row r="64" spans="1:35" s="56" customFormat="1" ht="15" customHeight="1" thickBot="1" x14ac:dyDescent="0.25">
      <c r="A64" s="619"/>
      <c r="B64" s="451"/>
      <c r="C64" s="452"/>
      <c r="D64" s="452"/>
      <c r="E64" s="452"/>
      <c r="F64" s="452"/>
      <c r="G64" s="453"/>
      <c r="H64" s="117"/>
      <c r="I64" s="118"/>
      <c r="J64" s="747"/>
      <c r="K64" s="750"/>
      <c r="L64" s="784"/>
      <c r="M64" s="466"/>
      <c r="N64" s="466"/>
      <c r="O64" s="466"/>
      <c r="P64" s="466"/>
      <c r="Q64" s="466"/>
      <c r="R64" s="466"/>
      <c r="S64" s="466"/>
      <c r="T64" s="466"/>
      <c r="U64" s="757"/>
      <c r="W64" s="771"/>
      <c r="X64" s="772"/>
      <c r="Z64" s="56" t="s">
        <v>713</v>
      </c>
      <c r="AF64" s="58"/>
      <c r="AI64" s="151"/>
    </row>
    <row r="65" spans="1:35" s="56" customFormat="1" ht="15" hidden="1" customHeight="1" thickTop="1" x14ac:dyDescent="0.2">
      <c r="A65" s="619"/>
      <c r="B65" s="479"/>
      <c r="C65" s="480"/>
      <c r="D65" s="480"/>
      <c r="E65" s="480"/>
      <c r="F65" s="480"/>
      <c r="G65" s="481"/>
      <c r="H65" s="110"/>
      <c r="I65" s="111"/>
      <c r="J65" s="536"/>
      <c r="K65" s="539"/>
      <c r="L65" s="542"/>
      <c r="M65" s="490"/>
      <c r="N65" s="489"/>
      <c r="O65" s="490"/>
      <c r="P65" s="489"/>
      <c r="Q65" s="490"/>
      <c r="R65" s="489"/>
      <c r="S65" s="490"/>
      <c r="T65" s="516"/>
      <c r="U65" s="517"/>
      <c r="W65" s="765" t="s">
        <v>144</v>
      </c>
      <c r="X65" s="766"/>
      <c r="AF65" s="58"/>
      <c r="AI65" s="151"/>
    </row>
    <row r="66" spans="1:35" s="56" customFormat="1" ht="15" hidden="1" customHeight="1" x14ac:dyDescent="0.2">
      <c r="A66" s="619"/>
      <c r="B66" s="482"/>
      <c r="C66" s="483"/>
      <c r="D66" s="483"/>
      <c r="E66" s="483"/>
      <c r="F66" s="483"/>
      <c r="G66" s="484"/>
      <c r="H66" s="112"/>
      <c r="I66" s="113"/>
      <c r="J66" s="537"/>
      <c r="K66" s="540"/>
      <c r="L66" s="471"/>
      <c r="M66" s="468"/>
      <c r="N66" s="467"/>
      <c r="O66" s="468"/>
      <c r="P66" s="467"/>
      <c r="Q66" s="468"/>
      <c r="R66" s="467"/>
      <c r="S66" s="468"/>
      <c r="T66" s="507"/>
      <c r="U66" s="508"/>
      <c r="W66" s="767"/>
      <c r="X66" s="768"/>
      <c r="AF66" s="58"/>
      <c r="AI66" s="151"/>
    </row>
    <row r="67" spans="1:35" s="56" customFormat="1" ht="15" hidden="1" customHeight="1" x14ac:dyDescent="0.2">
      <c r="A67" s="619"/>
      <c r="B67" s="482"/>
      <c r="C67" s="483"/>
      <c r="D67" s="483"/>
      <c r="E67" s="483"/>
      <c r="F67" s="483"/>
      <c r="G67" s="484"/>
      <c r="H67" s="112"/>
      <c r="I67" s="113"/>
      <c r="J67" s="537"/>
      <c r="K67" s="540"/>
      <c r="L67" s="545"/>
      <c r="M67" s="546"/>
      <c r="N67" s="547"/>
      <c r="O67" s="546"/>
      <c r="P67" s="547"/>
      <c r="Q67" s="546"/>
      <c r="R67" s="547"/>
      <c r="S67" s="546"/>
      <c r="T67" s="511"/>
      <c r="U67" s="512"/>
      <c r="W67" s="767"/>
      <c r="X67" s="768"/>
      <c r="AF67" s="58"/>
      <c r="AI67" s="151"/>
    </row>
    <row r="68" spans="1:35" s="56" customFormat="1" ht="15" hidden="1" customHeight="1" x14ac:dyDescent="0.2">
      <c r="A68" s="619"/>
      <c r="B68" s="454"/>
      <c r="C68" s="455"/>
      <c r="D68" s="455"/>
      <c r="E68" s="455"/>
      <c r="F68" s="455"/>
      <c r="G68" s="456"/>
      <c r="H68" s="112"/>
      <c r="I68" s="113"/>
      <c r="J68" s="537"/>
      <c r="K68" s="540"/>
      <c r="L68" s="432"/>
      <c r="M68" s="433"/>
      <c r="N68" s="434"/>
      <c r="O68" s="433"/>
      <c r="P68" s="434"/>
      <c r="Q68" s="433"/>
      <c r="R68" s="434"/>
      <c r="S68" s="433"/>
      <c r="T68" s="759"/>
      <c r="U68" s="760"/>
      <c r="W68" s="767"/>
      <c r="X68" s="768"/>
      <c r="AF68" s="58"/>
      <c r="AI68" s="151"/>
    </row>
    <row r="69" spans="1:35" s="56" customFormat="1" ht="15" hidden="1" customHeight="1" x14ac:dyDescent="0.2">
      <c r="A69" s="619"/>
      <c r="B69" s="502"/>
      <c r="C69" s="503"/>
      <c r="D69" s="503"/>
      <c r="E69" s="503"/>
      <c r="F69" s="503"/>
      <c r="G69" s="504"/>
      <c r="H69" s="112"/>
      <c r="I69" s="113"/>
      <c r="J69" s="537"/>
      <c r="K69" s="540"/>
      <c r="L69" s="543"/>
      <c r="M69" s="458"/>
      <c r="N69" s="457"/>
      <c r="O69" s="458"/>
      <c r="P69" s="457"/>
      <c r="Q69" s="458"/>
      <c r="R69" s="457"/>
      <c r="S69" s="458"/>
      <c r="T69" s="509"/>
      <c r="U69" s="510"/>
      <c r="W69" s="767"/>
      <c r="X69" s="768"/>
      <c r="AF69" s="58"/>
      <c r="AI69" s="151"/>
    </row>
    <row r="70" spans="1:35" s="56" customFormat="1" ht="15" hidden="1" customHeight="1" x14ac:dyDescent="0.2">
      <c r="A70" s="619"/>
      <c r="B70" s="357"/>
      <c r="C70" s="358"/>
      <c r="D70" s="358"/>
      <c r="E70" s="358"/>
      <c r="F70" s="358"/>
      <c r="G70" s="544"/>
      <c r="H70" s="114"/>
      <c r="I70" s="113"/>
      <c r="J70" s="537"/>
      <c r="K70" s="540"/>
      <c r="L70" s="505"/>
      <c r="M70" s="506"/>
      <c r="N70" s="515"/>
      <c r="O70" s="506"/>
      <c r="P70" s="515"/>
      <c r="Q70" s="506"/>
      <c r="R70" s="515"/>
      <c r="S70" s="506"/>
      <c r="T70" s="511"/>
      <c r="U70" s="512"/>
      <c r="W70" s="767"/>
      <c r="X70" s="768"/>
      <c r="AF70" s="58"/>
      <c r="AI70" s="151"/>
    </row>
    <row r="71" spans="1:35" s="56" customFormat="1" ht="15" hidden="1" customHeight="1" x14ac:dyDescent="0.2">
      <c r="A71" s="619"/>
      <c r="B71" s="499"/>
      <c r="C71" s="500"/>
      <c r="D71" s="500"/>
      <c r="E71" s="500"/>
      <c r="F71" s="500"/>
      <c r="G71" s="501"/>
      <c r="H71" s="114"/>
      <c r="I71" s="113"/>
      <c r="J71" s="537"/>
      <c r="K71" s="540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767"/>
      <c r="X71" s="768"/>
      <c r="AF71" s="58"/>
      <c r="AI71" s="151"/>
    </row>
    <row r="72" spans="1:35" s="56" customFormat="1" ht="15" hidden="1" customHeight="1" x14ac:dyDescent="0.2">
      <c r="A72" s="619"/>
      <c r="B72" s="499"/>
      <c r="C72" s="500"/>
      <c r="D72" s="500"/>
      <c r="E72" s="500"/>
      <c r="F72" s="500"/>
      <c r="G72" s="501"/>
      <c r="H72" s="114"/>
      <c r="I72" s="113"/>
      <c r="J72" s="537"/>
      <c r="K72" s="540"/>
      <c r="L72" s="783"/>
      <c r="M72" s="522"/>
      <c r="N72" s="522"/>
      <c r="O72" s="522"/>
      <c r="P72" s="522"/>
      <c r="Q72" s="522"/>
      <c r="R72" s="522"/>
      <c r="S72" s="522"/>
      <c r="T72" s="522"/>
      <c r="U72" s="758"/>
      <c r="W72" s="767"/>
      <c r="X72" s="768"/>
      <c r="AF72" s="58"/>
      <c r="AI72" s="151"/>
    </row>
    <row r="73" spans="1:35" s="56" customFormat="1" ht="15" hidden="1" customHeight="1" thickBot="1" x14ac:dyDescent="0.25">
      <c r="A73" s="619"/>
      <c r="B73" s="451"/>
      <c r="C73" s="452"/>
      <c r="D73" s="452"/>
      <c r="E73" s="452"/>
      <c r="F73" s="452"/>
      <c r="G73" s="453"/>
      <c r="H73" s="117"/>
      <c r="I73" s="118"/>
      <c r="J73" s="538"/>
      <c r="K73" s="541"/>
      <c r="L73" s="784"/>
      <c r="M73" s="466"/>
      <c r="N73" s="466"/>
      <c r="O73" s="466"/>
      <c r="P73" s="466"/>
      <c r="Q73" s="466"/>
      <c r="R73" s="466"/>
      <c r="S73" s="466"/>
      <c r="T73" s="466"/>
      <c r="U73" s="757"/>
      <c r="W73" s="767"/>
      <c r="X73" s="768"/>
      <c r="AF73" s="58"/>
      <c r="AI73" s="151"/>
    </row>
    <row r="74" spans="1:35" s="56" customFormat="1" ht="15" customHeight="1" x14ac:dyDescent="0.2">
      <c r="A74" s="619"/>
      <c r="B74" s="482" t="s">
        <v>7</v>
      </c>
      <c r="C74" s="483"/>
      <c r="D74" s="483"/>
      <c r="E74" s="483"/>
      <c r="F74" s="483"/>
      <c r="G74" s="484"/>
      <c r="H74" s="60"/>
      <c r="I74" s="78"/>
      <c r="J74" s="558" t="s">
        <v>21</v>
      </c>
      <c r="K74" s="559"/>
      <c r="L74" s="527" t="s">
        <v>1356</v>
      </c>
      <c r="M74" s="528"/>
      <c r="N74" s="528"/>
      <c r="O74" s="528"/>
      <c r="P74" s="528"/>
      <c r="Q74" s="528"/>
      <c r="R74" s="528"/>
      <c r="S74" s="528"/>
      <c r="T74" s="528"/>
      <c r="U74" s="529"/>
      <c r="AF74" s="58"/>
      <c r="AI74" s="151"/>
    </row>
    <row r="75" spans="1:35" s="56" customFormat="1" ht="15" customHeight="1" thickBot="1" x14ac:dyDescent="0.25">
      <c r="A75" s="619"/>
      <c r="B75" s="571"/>
      <c r="C75" s="572"/>
      <c r="D75" s="572"/>
      <c r="E75" s="572"/>
      <c r="F75" s="572"/>
      <c r="G75" s="573"/>
      <c r="H75" s="66"/>
      <c r="I75" s="119"/>
      <c r="J75" s="560"/>
      <c r="K75" s="561"/>
      <c r="L75" s="530" t="s">
        <v>1343</v>
      </c>
      <c r="M75" s="531"/>
      <c r="N75" s="531"/>
      <c r="O75" s="531"/>
      <c r="P75" s="531"/>
      <c r="Q75" s="531"/>
      <c r="R75" s="531"/>
      <c r="S75" s="531"/>
      <c r="T75" s="531"/>
      <c r="U75" s="532"/>
      <c r="AF75" s="58"/>
      <c r="AI75" s="151"/>
    </row>
    <row r="76" spans="1:35" s="56" customFormat="1" ht="17.25" customHeight="1" thickBot="1" x14ac:dyDescent="0.25">
      <c r="A76" s="619"/>
      <c r="B76" s="574" t="s">
        <v>0</v>
      </c>
      <c r="C76" s="575"/>
      <c r="D76" s="575"/>
      <c r="E76" s="575"/>
      <c r="F76" s="575"/>
      <c r="G76" s="576"/>
      <c r="H76" s="75"/>
      <c r="I76" s="76" t="s">
        <v>13</v>
      </c>
      <c r="J76" s="556">
        <v>1</v>
      </c>
      <c r="K76" s="557"/>
      <c r="L76" s="654" t="s">
        <v>1361</v>
      </c>
      <c r="M76" s="655"/>
      <c r="N76" s="655"/>
      <c r="O76" s="655"/>
      <c r="P76" s="655"/>
      <c r="Q76" s="655"/>
      <c r="R76" s="655"/>
      <c r="S76" s="655"/>
      <c r="T76" s="655"/>
      <c r="U76" s="656"/>
      <c r="AF76" s="58"/>
      <c r="AI76" s="151"/>
    </row>
    <row r="77" spans="1:35" s="56" customFormat="1" ht="28.5" customHeight="1" x14ac:dyDescent="0.2">
      <c r="A77" s="621" t="s">
        <v>3</v>
      </c>
      <c r="B77" s="445"/>
      <c r="C77" s="446"/>
      <c r="D77" s="446"/>
      <c r="E77" s="446"/>
      <c r="F77" s="446"/>
      <c r="G77" s="447"/>
      <c r="H77" s="54"/>
      <c r="I77" s="55"/>
      <c r="J77" s="523"/>
      <c r="K77" s="524"/>
      <c r="L77" s="688"/>
      <c r="M77" s="686"/>
      <c r="N77" s="683"/>
      <c r="O77" s="686"/>
      <c r="P77" s="683"/>
      <c r="Q77" s="686"/>
      <c r="R77" s="683"/>
      <c r="S77" s="686"/>
      <c r="T77" s="683"/>
      <c r="U77" s="684"/>
      <c r="AF77" s="58"/>
      <c r="AI77" s="151"/>
    </row>
    <row r="78" spans="1:35" s="56" customFormat="1" ht="28.5" customHeight="1" thickBot="1" x14ac:dyDescent="0.25">
      <c r="A78" s="622"/>
      <c r="B78" s="568"/>
      <c r="C78" s="569"/>
      <c r="D78" s="569"/>
      <c r="E78" s="569"/>
      <c r="F78" s="569"/>
      <c r="G78" s="570"/>
      <c r="H78" s="75"/>
      <c r="I78" s="76"/>
      <c r="J78" s="525"/>
      <c r="K78" s="526"/>
      <c r="L78" s="687"/>
      <c r="M78" s="685"/>
      <c r="N78" s="443"/>
      <c r="O78" s="685"/>
      <c r="P78" s="443"/>
      <c r="Q78" s="685"/>
      <c r="R78" s="443"/>
      <c r="S78" s="685"/>
      <c r="T78" s="443"/>
      <c r="U78" s="444"/>
      <c r="AF78" s="58"/>
      <c r="AI78" s="151"/>
    </row>
    <row r="79" spans="1:35" s="56" customFormat="1" ht="15.95" customHeight="1" x14ac:dyDescent="0.2">
      <c r="A79" s="621" t="s">
        <v>791</v>
      </c>
      <c r="B79" s="435"/>
      <c r="C79" s="436"/>
      <c r="D79" s="436"/>
      <c r="E79" s="436"/>
      <c r="F79" s="436"/>
      <c r="G79" s="437"/>
      <c r="H79" s="110" t="s">
        <v>745</v>
      </c>
      <c r="I79" s="219" t="s">
        <v>674</v>
      </c>
      <c r="J79" s="248" t="s">
        <v>21</v>
      </c>
      <c r="K79" s="249">
        <v>1</v>
      </c>
      <c r="L79" s="438" t="s">
        <v>1342</v>
      </c>
      <c r="M79" s="439"/>
      <c r="N79" s="440"/>
      <c r="O79" s="441"/>
      <c r="P79" s="440"/>
      <c r="Q79" s="441"/>
      <c r="R79" s="440"/>
      <c r="S79" s="441"/>
      <c r="T79" s="440"/>
      <c r="U79" s="442"/>
      <c r="W79" s="761" t="s">
        <v>797</v>
      </c>
      <c r="X79" s="762"/>
      <c r="AF79" s="58"/>
      <c r="AI79" s="151"/>
    </row>
    <row r="80" spans="1:35" s="56" customFormat="1" ht="15.95" customHeight="1" thickBot="1" x14ac:dyDescent="0.25">
      <c r="A80" s="779"/>
      <c r="B80" s="533" t="s">
        <v>754</v>
      </c>
      <c r="C80" s="534"/>
      <c r="D80" s="534"/>
      <c r="E80" s="534"/>
      <c r="F80" s="534"/>
      <c r="G80" s="535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763"/>
      <c r="X80" s="764"/>
      <c r="AF80" s="58"/>
      <c r="AI80" s="151"/>
    </row>
    <row r="81" spans="1:35" s="56" customFormat="1" ht="15.95" customHeight="1" thickBot="1" x14ac:dyDescent="0.25">
      <c r="A81" s="779"/>
      <c r="B81" s="459"/>
      <c r="C81" s="460"/>
      <c r="D81" s="460"/>
      <c r="E81" s="460"/>
      <c r="F81" s="460"/>
      <c r="G81" s="461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751" t="s">
        <v>714</v>
      </c>
      <c r="X81" s="751"/>
      <c r="AF81" s="58"/>
      <c r="AI81" s="151"/>
    </row>
    <row r="82" spans="1:35" s="56" customFormat="1" ht="15" customHeight="1" x14ac:dyDescent="0.2">
      <c r="A82" s="779"/>
      <c r="B82" s="533"/>
      <c r="C82" s="534"/>
      <c r="D82" s="534"/>
      <c r="E82" s="534"/>
      <c r="F82" s="534"/>
      <c r="G82" s="535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751"/>
      <c r="X82" s="751"/>
      <c r="AF82" s="58"/>
      <c r="AI82" s="151"/>
    </row>
    <row r="83" spans="1:35" s="56" customFormat="1" ht="15" customHeight="1" thickBot="1" x14ac:dyDescent="0.25">
      <c r="A83" s="779"/>
      <c r="B83" s="459"/>
      <c r="C83" s="460"/>
      <c r="D83" s="460"/>
      <c r="E83" s="460"/>
      <c r="F83" s="460"/>
      <c r="G83" s="461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751"/>
      <c r="X83" s="751"/>
      <c r="Z83" s="56" t="s">
        <v>812</v>
      </c>
      <c r="AF83" s="58"/>
      <c r="AI83" s="151"/>
    </row>
    <row r="84" spans="1:35" s="56" customFormat="1" ht="15" hidden="1" customHeight="1" thickBot="1" x14ac:dyDescent="0.25">
      <c r="A84" s="779"/>
      <c r="B84" s="580"/>
      <c r="C84" s="581"/>
      <c r="D84" s="581"/>
      <c r="E84" s="581"/>
      <c r="F84" s="581"/>
      <c r="G84" s="582"/>
      <c r="H84" s="123"/>
      <c r="I84" s="124"/>
      <c r="J84" s="156"/>
      <c r="K84" s="52"/>
      <c r="L84" s="659"/>
      <c r="M84" s="521"/>
      <c r="N84" s="520"/>
      <c r="O84" s="521"/>
      <c r="P84" s="520"/>
      <c r="Q84" s="521"/>
      <c r="R84" s="520"/>
      <c r="S84" s="521"/>
      <c r="T84" s="520"/>
      <c r="U84" s="782"/>
      <c r="W84" s="751"/>
      <c r="X84" s="751"/>
      <c r="AF84" s="58"/>
      <c r="AI84" s="151"/>
    </row>
    <row r="85" spans="1:35" s="56" customFormat="1" ht="15" hidden="1" customHeight="1" x14ac:dyDescent="0.2">
      <c r="A85" s="779"/>
      <c r="B85" s="533"/>
      <c r="C85" s="534"/>
      <c r="D85" s="534"/>
      <c r="E85" s="534"/>
      <c r="F85" s="534"/>
      <c r="G85" s="535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751"/>
      <c r="X85" s="751"/>
      <c r="AF85" s="58"/>
      <c r="AI85" s="151"/>
    </row>
    <row r="86" spans="1:35" s="56" customFormat="1" ht="15" hidden="1" customHeight="1" thickBot="1" x14ac:dyDescent="0.25">
      <c r="A86" s="779"/>
      <c r="B86" s="459"/>
      <c r="C86" s="460"/>
      <c r="D86" s="460"/>
      <c r="E86" s="460"/>
      <c r="F86" s="460"/>
      <c r="G86" s="461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751"/>
      <c r="X86" s="751"/>
      <c r="AF86" s="58"/>
      <c r="AI86" s="151"/>
    </row>
    <row r="87" spans="1:35" s="56" customFormat="1" ht="15" hidden="1" customHeight="1" thickBot="1" x14ac:dyDescent="0.25">
      <c r="A87" s="779"/>
      <c r="B87" s="630"/>
      <c r="C87" s="631"/>
      <c r="D87" s="631"/>
      <c r="E87" s="631"/>
      <c r="F87" s="631"/>
      <c r="G87" s="632"/>
      <c r="H87" s="121"/>
      <c r="I87" s="122"/>
      <c r="J87" s="156"/>
      <c r="K87" s="52"/>
      <c r="L87" s="659"/>
      <c r="M87" s="521"/>
      <c r="N87" s="520"/>
      <c r="O87" s="521"/>
      <c r="P87" s="520"/>
      <c r="Q87" s="521"/>
      <c r="R87" s="520"/>
      <c r="S87" s="521"/>
      <c r="T87" s="520"/>
      <c r="U87" s="782"/>
      <c r="W87" s="751"/>
      <c r="X87" s="751"/>
      <c r="AF87" s="58"/>
      <c r="AI87" s="151"/>
    </row>
    <row r="88" spans="1:35" s="56" customFormat="1" ht="15" hidden="1" customHeight="1" x14ac:dyDescent="0.2">
      <c r="A88" s="779"/>
      <c r="B88" s="533"/>
      <c r="C88" s="534"/>
      <c r="D88" s="534"/>
      <c r="E88" s="534"/>
      <c r="F88" s="534"/>
      <c r="G88" s="535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751"/>
      <c r="X88" s="751"/>
      <c r="AF88" s="58"/>
      <c r="AI88" s="151"/>
    </row>
    <row r="89" spans="1:35" s="56" customFormat="1" ht="15" hidden="1" customHeight="1" thickBot="1" x14ac:dyDescent="0.25">
      <c r="A89" s="779"/>
      <c r="B89" s="583"/>
      <c r="C89" s="584"/>
      <c r="D89" s="584"/>
      <c r="E89" s="584"/>
      <c r="F89" s="584"/>
      <c r="G89" s="585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751"/>
      <c r="X89" s="751"/>
      <c r="AF89" s="58"/>
      <c r="AI89" s="151"/>
    </row>
    <row r="90" spans="1:35" s="56" customFormat="1" ht="15" customHeight="1" x14ac:dyDescent="0.2">
      <c r="A90" s="779"/>
      <c r="B90" s="562"/>
      <c r="C90" s="563"/>
      <c r="D90" s="563"/>
      <c r="E90" s="563"/>
      <c r="F90" s="563"/>
      <c r="G90" s="564"/>
      <c r="H90" s="133"/>
      <c r="I90" s="134"/>
      <c r="J90" s="244"/>
      <c r="K90" s="245"/>
      <c r="L90" s="752"/>
      <c r="M90" s="753"/>
      <c r="N90" s="753"/>
      <c r="O90" s="753"/>
      <c r="P90" s="753"/>
      <c r="Q90" s="753"/>
      <c r="R90" s="753"/>
      <c r="S90" s="753"/>
      <c r="T90" s="753"/>
      <c r="U90" s="754"/>
      <c r="W90" s="751"/>
      <c r="X90" s="751"/>
      <c r="AF90" s="58"/>
      <c r="AI90" s="151"/>
    </row>
    <row r="91" spans="1:35" s="56" customFormat="1" ht="15" customHeight="1" x14ac:dyDescent="0.2">
      <c r="A91" s="779"/>
      <c r="B91" s="565"/>
      <c r="C91" s="566"/>
      <c r="D91" s="566"/>
      <c r="E91" s="566"/>
      <c r="F91" s="566"/>
      <c r="G91" s="567"/>
      <c r="H91" s="66"/>
      <c r="I91" s="135"/>
      <c r="J91" s="246"/>
      <c r="K91" s="247"/>
      <c r="L91" s="660"/>
      <c r="M91" s="661"/>
      <c r="N91" s="661"/>
      <c r="O91" s="661"/>
      <c r="P91" s="661"/>
      <c r="Q91" s="661"/>
      <c r="R91" s="661"/>
      <c r="S91" s="661"/>
      <c r="T91" s="661"/>
      <c r="U91" s="662"/>
      <c r="W91" s="751"/>
      <c r="X91" s="751"/>
      <c r="AF91" s="58"/>
      <c r="AI91" s="151"/>
    </row>
    <row r="92" spans="1:35" s="56" customFormat="1" ht="15" customHeight="1" x14ac:dyDescent="0.2">
      <c r="A92" s="779"/>
      <c r="B92" s="624"/>
      <c r="C92" s="625"/>
      <c r="D92" s="625"/>
      <c r="E92" s="625"/>
      <c r="F92" s="625"/>
      <c r="G92" s="626"/>
      <c r="H92" s="136"/>
      <c r="I92" s="137"/>
      <c r="J92" s="246"/>
      <c r="K92" s="247"/>
      <c r="L92" s="660"/>
      <c r="M92" s="661"/>
      <c r="N92" s="661"/>
      <c r="O92" s="661"/>
      <c r="P92" s="661"/>
      <c r="Q92" s="661"/>
      <c r="R92" s="661"/>
      <c r="S92" s="661"/>
      <c r="T92" s="661"/>
      <c r="U92" s="662"/>
      <c r="W92" s="751"/>
      <c r="X92" s="751"/>
      <c r="AF92" s="58"/>
      <c r="AI92" s="151"/>
    </row>
    <row r="93" spans="1:35" s="56" customFormat="1" ht="15" customHeight="1" thickBot="1" x14ac:dyDescent="0.25">
      <c r="A93" s="622"/>
      <c r="B93" s="448"/>
      <c r="C93" s="449"/>
      <c r="D93" s="449"/>
      <c r="E93" s="449"/>
      <c r="F93" s="449"/>
      <c r="G93" s="450"/>
      <c r="H93" s="75"/>
      <c r="I93" s="76"/>
      <c r="J93" s="238"/>
      <c r="K93" s="239"/>
      <c r="L93" s="554"/>
      <c r="M93" s="755"/>
      <c r="N93" s="755"/>
      <c r="O93" s="755"/>
      <c r="P93" s="755"/>
      <c r="Q93" s="755"/>
      <c r="R93" s="755"/>
      <c r="S93" s="755"/>
      <c r="T93" s="755"/>
      <c r="U93" s="555"/>
      <c r="W93" s="751"/>
      <c r="X93" s="751"/>
      <c r="AF93" s="58"/>
      <c r="AI93" s="151"/>
    </row>
    <row r="94" spans="1:35" s="56" customFormat="1" ht="15" customHeight="1" x14ac:dyDescent="0.2">
      <c r="A94" s="621" t="s">
        <v>1</v>
      </c>
      <c r="B94" s="627" t="s">
        <v>251</v>
      </c>
      <c r="C94" s="628"/>
      <c r="D94" s="628"/>
      <c r="E94" s="628"/>
      <c r="F94" s="628"/>
      <c r="G94" s="629"/>
      <c r="H94" s="66"/>
      <c r="I94" s="138" t="str">
        <f>IFERROR(VLOOKUP(B94,AUX!E40:F67,2,0),"")</f>
        <v>XEC050</v>
      </c>
      <c r="J94" s="242" t="s">
        <v>21</v>
      </c>
      <c r="K94" s="243">
        <v>1</v>
      </c>
      <c r="L94" s="680"/>
      <c r="M94" s="681"/>
      <c r="N94" s="681"/>
      <c r="O94" s="681"/>
      <c r="P94" s="681"/>
      <c r="Q94" s="681"/>
      <c r="R94" s="681"/>
      <c r="S94" s="681"/>
      <c r="T94" s="681"/>
      <c r="U94" s="682"/>
      <c r="W94" s="285" t="s">
        <v>806</v>
      </c>
      <c r="AF94" s="58"/>
      <c r="AI94" s="151"/>
    </row>
    <row r="95" spans="1:35" s="56" customFormat="1" ht="15" customHeight="1" x14ac:dyDescent="0.2">
      <c r="A95" s="623"/>
      <c r="B95" s="462" t="s">
        <v>241</v>
      </c>
      <c r="C95" s="463"/>
      <c r="D95" s="463"/>
      <c r="E95" s="463"/>
      <c r="F95" s="463"/>
      <c r="G95" s="464"/>
      <c r="H95" s="139"/>
      <c r="I95" s="140" t="str">
        <f>IFERROR(VLOOKUP(B95,AUX!E40:F67,2,0),"")</f>
        <v>XEC043</v>
      </c>
      <c r="J95" s="246" t="s">
        <v>21</v>
      </c>
      <c r="K95" s="247">
        <v>1</v>
      </c>
      <c r="L95" s="674"/>
      <c r="M95" s="675"/>
      <c r="N95" s="675"/>
      <c r="O95" s="675"/>
      <c r="P95" s="675"/>
      <c r="Q95" s="675"/>
      <c r="R95" s="675"/>
      <c r="S95" s="675"/>
      <c r="T95" s="675"/>
      <c r="U95" s="676"/>
      <c r="W95" s="286" t="s">
        <v>807</v>
      </c>
      <c r="AF95" s="58"/>
      <c r="AI95" s="151"/>
    </row>
    <row r="96" spans="1:35" s="56" customFormat="1" ht="15" customHeight="1" x14ac:dyDescent="0.2">
      <c r="A96" s="623"/>
      <c r="B96" s="462"/>
      <c r="C96" s="463"/>
      <c r="D96" s="463"/>
      <c r="E96" s="463"/>
      <c r="F96" s="463"/>
      <c r="G96" s="464"/>
      <c r="H96" s="139"/>
      <c r="I96" s="140" t="str">
        <f>IF(B96&lt;&gt;"","XEV001","")</f>
        <v/>
      </c>
      <c r="J96" s="246"/>
      <c r="K96" s="247"/>
      <c r="L96" s="660"/>
      <c r="M96" s="661"/>
      <c r="N96" s="661"/>
      <c r="O96" s="661"/>
      <c r="P96" s="661"/>
      <c r="Q96" s="661"/>
      <c r="R96" s="661"/>
      <c r="S96" s="661"/>
      <c r="T96" s="661"/>
      <c r="U96" s="662"/>
      <c r="W96" s="287" t="s">
        <v>808</v>
      </c>
      <c r="AF96" s="58"/>
      <c r="AI96" s="151"/>
    </row>
    <row r="97" spans="1:35" s="56" customFormat="1" ht="15" customHeight="1" x14ac:dyDescent="0.2">
      <c r="A97" s="623"/>
      <c r="B97" s="462"/>
      <c r="C97" s="463"/>
      <c r="D97" s="463"/>
      <c r="E97" s="463"/>
      <c r="F97" s="463"/>
      <c r="G97" s="464"/>
      <c r="H97" s="139"/>
      <c r="I97" s="140" t="str">
        <f>IF(B97&lt;&gt;"","XEV001","")</f>
        <v/>
      </c>
      <c r="J97" s="246"/>
      <c r="K97" s="247"/>
      <c r="L97" s="660"/>
      <c r="M97" s="661"/>
      <c r="N97" s="661"/>
      <c r="O97" s="661"/>
      <c r="P97" s="661"/>
      <c r="Q97" s="661"/>
      <c r="R97" s="661"/>
      <c r="S97" s="661"/>
      <c r="T97" s="661"/>
      <c r="U97" s="662"/>
      <c r="W97" s="288"/>
      <c r="AF97" s="58"/>
      <c r="AI97" s="151"/>
    </row>
    <row r="98" spans="1:35" s="56" customFormat="1" ht="15" customHeight="1" x14ac:dyDescent="0.2">
      <c r="A98" s="623"/>
      <c r="B98" s="462"/>
      <c r="C98" s="463"/>
      <c r="D98" s="463"/>
      <c r="E98" s="463"/>
      <c r="F98" s="463"/>
      <c r="G98" s="464"/>
      <c r="H98" s="139"/>
      <c r="I98" s="140" t="str">
        <f>IF(B98&lt;&gt;"","XEV001","")</f>
        <v/>
      </c>
      <c r="J98" s="246"/>
      <c r="K98" s="247"/>
      <c r="L98" s="674"/>
      <c r="M98" s="675"/>
      <c r="N98" s="675"/>
      <c r="O98" s="675"/>
      <c r="P98" s="675"/>
      <c r="Q98" s="675"/>
      <c r="R98" s="675"/>
      <c r="S98" s="675"/>
      <c r="T98" s="675"/>
      <c r="U98" s="676"/>
      <c r="W98" s="289"/>
      <c r="AF98" s="58"/>
      <c r="AI98" s="151"/>
    </row>
    <row r="99" spans="1:35" s="56" customFormat="1" ht="15" customHeight="1" x14ac:dyDescent="0.2">
      <c r="A99" s="623"/>
      <c r="B99" s="462" t="s">
        <v>49</v>
      </c>
      <c r="C99" s="463"/>
      <c r="D99" s="463"/>
      <c r="E99" s="463"/>
      <c r="F99" s="463"/>
      <c r="G99" s="464"/>
      <c r="H99" s="66"/>
      <c r="I99" s="67" t="str">
        <f>IFERROR(VLOOKUP(B99,AUX!E68:F82,2,0),"")</f>
        <v>XEB001</v>
      </c>
      <c r="J99" s="156" t="s">
        <v>21</v>
      </c>
      <c r="K99" s="52">
        <v>1</v>
      </c>
      <c r="L99" s="674"/>
      <c r="M99" s="675"/>
      <c r="N99" s="675"/>
      <c r="O99" s="675"/>
      <c r="P99" s="675"/>
      <c r="Q99" s="675"/>
      <c r="R99" s="675"/>
      <c r="S99" s="675"/>
      <c r="T99" s="675"/>
      <c r="U99" s="676"/>
      <c r="W99" s="291" t="s">
        <v>805</v>
      </c>
      <c r="AF99" s="58"/>
      <c r="AI99" s="151"/>
    </row>
    <row r="100" spans="1:35" s="56" customFormat="1" ht="15" customHeight="1" x14ac:dyDescent="0.2">
      <c r="A100" s="623"/>
      <c r="B100" s="462" t="s">
        <v>192</v>
      </c>
      <c r="C100" s="463"/>
      <c r="D100" s="463"/>
      <c r="E100" s="463"/>
      <c r="F100" s="463"/>
      <c r="G100" s="464"/>
      <c r="H100" s="139"/>
      <c r="I100" s="140" t="str">
        <f>IF(B100&lt;&gt;"","XEV001","")</f>
        <v>XEV001</v>
      </c>
      <c r="J100" s="236" t="s">
        <v>21</v>
      </c>
      <c r="K100" s="237">
        <v>1</v>
      </c>
      <c r="L100" s="674"/>
      <c r="M100" s="675"/>
      <c r="N100" s="675"/>
      <c r="O100" s="675"/>
      <c r="P100" s="675"/>
      <c r="Q100" s="675"/>
      <c r="R100" s="675"/>
      <c r="S100" s="675"/>
      <c r="T100" s="675"/>
      <c r="U100" s="676"/>
      <c r="W100" s="290" t="s">
        <v>804</v>
      </c>
      <c r="AF100" s="58"/>
      <c r="AI100" s="151"/>
    </row>
    <row r="101" spans="1:35" s="56" customFormat="1" ht="15" customHeight="1" x14ac:dyDescent="0.2">
      <c r="A101" s="623"/>
      <c r="B101" s="462" t="s">
        <v>208</v>
      </c>
      <c r="C101" s="463"/>
      <c r="D101" s="463"/>
      <c r="E101" s="463"/>
      <c r="F101" s="463"/>
      <c r="G101" s="464"/>
      <c r="H101" s="139"/>
      <c r="I101" s="140" t="str">
        <f>IF(B101&lt;&gt;"","XEV001","")</f>
        <v>XEV001</v>
      </c>
      <c r="J101" s="236" t="s">
        <v>21</v>
      </c>
      <c r="K101" s="237">
        <v>1</v>
      </c>
      <c r="L101" s="660"/>
      <c r="M101" s="661"/>
      <c r="N101" s="661"/>
      <c r="O101" s="661"/>
      <c r="P101" s="661"/>
      <c r="Q101" s="661"/>
      <c r="R101" s="661"/>
      <c r="S101" s="661"/>
      <c r="T101" s="661"/>
      <c r="U101" s="662"/>
      <c r="W101" s="292" t="s">
        <v>803</v>
      </c>
      <c r="AF101" s="58"/>
      <c r="AI101" s="151"/>
    </row>
    <row r="102" spans="1:35" s="56" customFormat="1" ht="15" customHeight="1" x14ac:dyDescent="0.2">
      <c r="A102" s="623"/>
      <c r="B102" s="577" t="str">
        <f>IF(B22&lt;&gt;"","STICKER PLANCHA","")</f>
        <v>STICKER PLANCHA</v>
      </c>
      <c r="C102" s="578"/>
      <c r="D102" s="578"/>
      <c r="E102" s="578"/>
      <c r="F102" s="578"/>
      <c r="G102" s="579"/>
      <c r="H102" s="139"/>
      <c r="I102" s="140" t="str">
        <f>IF(B102&lt;&gt;"","XEV001","")</f>
        <v>XEV001</v>
      </c>
      <c r="J102" s="236" t="s">
        <v>21</v>
      </c>
      <c r="K102" s="237">
        <v>1</v>
      </c>
      <c r="L102" s="674"/>
      <c r="M102" s="675"/>
      <c r="N102" s="675"/>
      <c r="O102" s="675"/>
      <c r="P102" s="675"/>
      <c r="Q102" s="675"/>
      <c r="R102" s="675"/>
      <c r="S102" s="675"/>
      <c r="T102" s="675"/>
      <c r="U102" s="676"/>
      <c r="W102" s="431" t="s">
        <v>801</v>
      </c>
      <c r="X102" s="431"/>
      <c r="Y102" s="431"/>
      <c r="Z102" s="431"/>
      <c r="AA102" s="431"/>
      <c r="AB102" s="431"/>
      <c r="AF102" s="58"/>
      <c r="AI102" s="151"/>
    </row>
    <row r="103" spans="1:35" s="56" customFormat="1" ht="15" customHeight="1" thickBot="1" x14ac:dyDescent="0.25">
      <c r="A103" s="623"/>
      <c r="B103" s="551"/>
      <c r="C103" s="552"/>
      <c r="D103" s="552"/>
      <c r="E103" s="552"/>
      <c r="F103" s="552"/>
      <c r="G103" s="553"/>
      <c r="H103" s="63"/>
      <c r="I103" s="68" t="str">
        <f>IFERROR(VLOOKUP(B103,AUX!E99:F116,2,0),"")</f>
        <v/>
      </c>
      <c r="J103" s="236"/>
      <c r="K103" s="237"/>
      <c r="L103" s="671"/>
      <c r="M103" s="672"/>
      <c r="N103" s="672"/>
      <c r="O103" s="672"/>
      <c r="P103" s="672"/>
      <c r="Q103" s="672"/>
      <c r="R103" s="672"/>
      <c r="S103" s="672"/>
      <c r="T103" s="672"/>
      <c r="U103" s="673"/>
      <c r="W103" s="430" t="s">
        <v>802</v>
      </c>
      <c r="X103" s="430"/>
      <c r="Y103" s="430"/>
      <c r="Z103" s="430"/>
      <c r="AA103" s="430"/>
      <c r="AB103" s="430"/>
      <c r="AF103" s="58"/>
      <c r="AI103" s="151"/>
    </row>
    <row r="104" spans="1:35" ht="15.95" customHeight="1" x14ac:dyDescent="0.2">
      <c r="A104" s="614" t="s">
        <v>8</v>
      </c>
      <c r="B104" s="548" t="str">
        <f>IFERROR(IF(B22="ESTAMPA","ILUSTRADOR",IF(B22="BORDADO","ILUSTRADOR","")),"")</f>
        <v>ILUSTRADOR</v>
      </c>
      <c r="C104" s="549"/>
      <c r="D104" s="549"/>
      <c r="E104" s="549"/>
      <c r="F104" s="549"/>
      <c r="G104" s="550"/>
      <c r="H104" s="133"/>
      <c r="I104" s="141" t="str">
        <f>IF(B104="ILUSTRADOR","XPE700","")</f>
        <v>XPE700</v>
      </c>
      <c r="J104" s="244" t="s">
        <v>21</v>
      </c>
      <c r="K104" s="245">
        <v>1</v>
      </c>
      <c r="L104" s="677"/>
      <c r="M104" s="678"/>
      <c r="N104" s="678"/>
      <c r="O104" s="678"/>
      <c r="P104" s="678"/>
      <c r="Q104" s="678"/>
      <c r="R104" s="678"/>
      <c r="S104" s="678"/>
      <c r="T104" s="678"/>
      <c r="U104" s="679"/>
      <c r="W104" s="429" t="s">
        <v>809</v>
      </c>
      <c r="X104" s="429"/>
      <c r="Y104" s="429"/>
      <c r="Z104" s="429"/>
      <c r="AA104" s="429"/>
      <c r="AB104" s="429"/>
    </row>
    <row r="105" spans="1:35" ht="15.95" customHeight="1" thickBot="1" x14ac:dyDescent="0.25">
      <c r="A105" s="615"/>
      <c r="B105" s="551" t="str">
        <f>IF(J105=1,"FICHA FINAL","")</f>
        <v/>
      </c>
      <c r="C105" s="552"/>
      <c r="D105" s="552"/>
      <c r="E105" s="552"/>
      <c r="F105" s="552"/>
      <c r="G105" s="553"/>
      <c r="H105" s="142"/>
      <c r="I105" s="143"/>
      <c r="J105" s="554"/>
      <c r="K105" s="555"/>
      <c r="L105" s="671"/>
      <c r="M105" s="672"/>
      <c r="N105" s="672"/>
      <c r="O105" s="672"/>
      <c r="P105" s="672"/>
      <c r="Q105" s="672"/>
      <c r="R105" s="672"/>
      <c r="S105" s="672"/>
      <c r="T105" s="672"/>
      <c r="U105" s="673"/>
      <c r="W105" s="428" t="s">
        <v>798</v>
      </c>
      <c r="X105" s="428"/>
      <c r="Y105" s="428"/>
      <c r="Z105" s="428"/>
      <c r="AA105" s="428"/>
      <c r="AB105" s="42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6"/>
      <c r="B1" s="816"/>
      <c r="C1" s="816"/>
      <c r="D1" s="17"/>
      <c r="E1" s="818" t="s">
        <v>154</v>
      </c>
      <c r="F1" s="817" t="s">
        <v>153</v>
      </c>
      <c r="H1" s="19"/>
    </row>
    <row r="2" spans="1:8" ht="24.6" customHeight="1" x14ac:dyDescent="0.2">
      <c r="A2" s="816"/>
      <c r="B2" s="816"/>
      <c r="C2" s="816"/>
      <c r="D2" s="17"/>
      <c r="E2" s="818"/>
      <c r="F2" s="817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8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8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8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8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8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8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8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8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8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8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8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8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639" t="s">
        <v>780</v>
      </c>
      <c r="C42" s="640"/>
      <c r="D42" s="640"/>
      <c r="E42" s="640"/>
      <c r="F42" s="640"/>
      <c r="G42" s="641"/>
      <c r="H42" s="123" t="s">
        <v>782</v>
      </c>
      <c r="I42" s="158" t="s">
        <v>783</v>
      </c>
      <c r="J42" s="269"/>
      <c r="K42" s="270"/>
      <c r="L42" s="849" t="s">
        <v>751</v>
      </c>
      <c r="M42" s="850"/>
      <c r="N42" s="851"/>
      <c r="O42" s="850"/>
      <c r="P42" s="851"/>
      <c r="Q42" s="850"/>
      <c r="R42" s="851"/>
      <c r="S42" s="850"/>
      <c r="T42" s="851"/>
      <c r="U42" s="852"/>
      <c r="W42" s="825" t="s">
        <v>778</v>
      </c>
      <c r="X42" s="826"/>
    </row>
    <row r="43" spans="1:24" s="3" customFormat="1" ht="15" customHeight="1" thickBot="1" x14ac:dyDescent="0.25">
      <c r="A43" s="619"/>
      <c r="B43" s="837" t="s">
        <v>781</v>
      </c>
      <c r="C43" s="838"/>
      <c r="D43" s="838"/>
      <c r="E43" s="838"/>
      <c r="F43" s="838"/>
      <c r="G43" s="839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827"/>
      <c r="X43" s="828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784</v>
      </c>
      <c r="I44" s="669"/>
      <c r="J44" s="669"/>
      <c r="K44" s="670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827"/>
      <c r="X44" s="828"/>
    </row>
    <row r="45" spans="1:24" s="3" customFormat="1" ht="15" customHeight="1" thickBot="1" x14ac:dyDescent="0.25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829"/>
      <c r="X45" s="830"/>
    </row>
    <row r="46" spans="1:24" s="3" customFormat="1" ht="15" customHeight="1" thickTop="1" x14ac:dyDescent="0.2">
      <c r="A46" s="619"/>
      <c r="B46" s="639" t="s">
        <v>780</v>
      </c>
      <c r="C46" s="640"/>
      <c r="D46" s="640"/>
      <c r="E46" s="640"/>
      <c r="F46" s="640"/>
      <c r="G46" s="641"/>
      <c r="H46" s="123" t="s">
        <v>782</v>
      </c>
      <c r="I46" s="158" t="s">
        <v>783</v>
      </c>
      <c r="J46" s="269"/>
      <c r="K46" s="270"/>
      <c r="L46" s="853" t="s">
        <v>751</v>
      </c>
      <c r="M46" s="593"/>
      <c r="N46" s="592"/>
      <c r="O46" s="593"/>
      <c r="P46" s="592"/>
      <c r="Q46" s="593"/>
      <c r="R46" s="592"/>
      <c r="S46" s="593"/>
      <c r="T46" s="592"/>
      <c r="U46" s="609"/>
      <c r="W46" s="831" t="s">
        <v>779</v>
      </c>
      <c r="X46" s="832"/>
    </row>
    <row r="47" spans="1:24" s="3" customFormat="1" ht="15" customHeight="1" thickBot="1" x14ac:dyDescent="0.25">
      <c r="A47" s="619"/>
      <c r="B47" s="837" t="s">
        <v>777</v>
      </c>
      <c r="C47" s="838"/>
      <c r="D47" s="838"/>
      <c r="E47" s="838"/>
      <c r="F47" s="838"/>
      <c r="G47" s="839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833"/>
      <c r="X47" s="834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8" t="s">
        <v>785</v>
      </c>
      <c r="I48" s="669"/>
      <c r="J48" s="669"/>
      <c r="K48" s="670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833"/>
      <c r="X48" s="834"/>
    </row>
    <row r="49" spans="1:27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2" t="s">
        <v>40</v>
      </c>
      <c r="I49" s="693"/>
      <c r="J49" s="693"/>
      <c r="K49" s="69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835"/>
      <c r="X49" s="836"/>
    </row>
    <row r="50" spans="1:27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29" t="s">
        <v>715</v>
      </c>
      <c r="X50" s="1030"/>
    </row>
    <row r="51" spans="1:27" s="3" customFormat="1" ht="15" customHeight="1" thickBot="1" x14ac:dyDescent="0.25">
      <c r="A51" s="619"/>
      <c r="B51" s="482" t="s">
        <v>716</v>
      </c>
      <c r="C51" s="483"/>
      <c r="D51" s="483"/>
      <c r="E51" s="483"/>
      <c r="F51" s="483"/>
      <c r="G51" s="484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1031"/>
      <c r="X51" s="1032"/>
    </row>
    <row r="52" spans="1:27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1031"/>
      <c r="X52" s="1032"/>
    </row>
    <row r="53" spans="1:27" s="3" customFormat="1" ht="15" customHeight="1" thickBot="1" x14ac:dyDescent="0.25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1031"/>
      <c r="X53" s="1032"/>
    </row>
    <row r="54" spans="1:27" s="3" customFormat="1" ht="15" customHeight="1" thickTop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160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3" t="s">
        <v>1237</v>
      </c>
      <c r="X54" s="1034"/>
    </row>
    <row r="55" spans="1:27" s="3" customFormat="1" ht="15" customHeight="1" thickBot="1" x14ac:dyDescent="0.25">
      <c r="A55" s="619"/>
      <c r="B55" s="482" t="s">
        <v>716</v>
      </c>
      <c r="C55" s="483"/>
      <c r="D55" s="483"/>
      <c r="E55" s="483"/>
      <c r="F55" s="483"/>
      <c r="G55" s="484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1035"/>
      <c r="X55" s="1036"/>
    </row>
    <row r="56" spans="1:27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1035"/>
      <c r="X56" s="1036"/>
    </row>
    <row r="57" spans="1:27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1037"/>
      <c r="X57" s="1038"/>
    </row>
    <row r="58" spans="1:27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63" t="s">
        <v>788</v>
      </c>
      <c r="I58" s="80" t="s">
        <v>1221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50" t="s">
        <v>1238</v>
      </c>
      <c r="X58" s="1051"/>
    </row>
    <row r="59" spans="1:27" s="3" customFormat="1" ht="15" customHeight="1" thickBot="1" x14ac:dyDescent="0.25">
      <c r="A59" s="619"/>
      <c r="B59" s="482" t="s">
        <v>1220</v>
      </c>
      <c r="C59" s="483"/>
      <c r="D59" s="483"/>
      <c r="E59" s="483"/>
      <c r="F59" s="483"/>
      <c r="G59" s="484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1052"/>
      <c r="X59" s="1053"/>
    </row>
    <row r="60" spans="1:27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9" t="s">
        <v>36</v>
      </c>
      <c r="I60" s="669"/>
      <c r="J60" s="669"/>
      <c r="K60" s="670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1052"/>
      <c r="X60" s="1053"/>
    </row>
    <row r="61" spans="1:27" s="3" customFormat="1" ht="15" customHeight="1" thickBot="1" x14ac:dyDescent="0.25">
      <c r="A61" s="619"/>
      <c r="B61" s="695"/>
      <c r="C61" s="696"/>
      <c r="D61" s="696"/>
      <c r="E61" s="696"/>
      <c r="F61" s="696"/>
      <c r="G61" s="697"/>
      <c r="H61" s="693" t="s">
        <v>40</v>
      </c>
      <c r="I61" s="693"/>
      <c r="J61" s="693"/>
      <c r="K61" s="69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1054"/>
      <c r="X61" s="1055"/>
    </row>
    <row r="62" spans="1:27" s="3" customFormat="1" ht="15" customHeight="1" thickTop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94" t="s">
        <v>42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039" t="s">
        <v>85</v>
      </c>
      <c r="X62" s="1040"/>
      <c r="AA62" s="9"/>
    </row>
    <row r="63" spans="1:27" s="3" customFormat="1" ht="15" customHeight="1" thickBot="1" x14ac:dyDescent="0.25">
      <c r="A63" s="619"/>
      <c r="B63" s="474" t="s">
        <v>41</v>
      </c>
      <c r="C63" s="428"/>
      <c r="D63" s="428"/>
      <c r="E63" s="428"/>
      <c r="F63" s="428"/>
      <c r="G63" s="475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1039"/>
      <c r="X63" s="1040"/>
      <c r="AA63" s="9"/>
    </row>
    <row r="64" spans="1:27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1039"/>
      <c r="X64" s="1040"/>
    </row>
    <row r="65" spans="1:26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1039"/>
      <c r="X65" s="1040"/>
    </row>
    <row r="66" spans="1:26" s="3" customFormat="1" ht="15" customHeight="1" thickTop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42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41" t="s">
        <v>86</v>
      </c>
      <c r="X66" s="1042"/>
    </row>
    <row r="67" spans="1:26" s="3" customFormat="1" ht="15" customHeight="1" thickBot="1" x14ac:dyDescent="0.25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1043"/>
      <c r="X67" s="1044"/>
    </row>
    <row r="68" spans="1:26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1043"/>
      <c r="X68" s="1044"/>
    </row>
    <row r="69" spans="1:26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1045"/>
      <c r="X69" s="1046"/>
    </row>
    <row r="70" spans="1:26" s="3" customFormat="1" ht="15" customHeight="1" thickTop="1" x14ac:dyDescent="0.2">
      <c r="A70" s="619"/>
      <c r="B70" s="476" t="s">
        <v>45</v>
      </c>
      <c r="C70" s="477"/>
      <c r="D70" s="477"/>
      <c r="E70" s="477"/>
      <c r="F70" s="477"/>
      <c r="G70" s="478"/>
      <c r="H70" s="63" t="s">
        <v>788</v>
      </c>
      <c r="I70" s="94" t="s">
        <v>42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33" t="s">
        <v>87</v>
      </c>
      <c r="X70" s="1034"/>
      <c r="Y70" s="10"/>
      <c r="Z70" s="10"/>
    </row>
    <row r="71" spans="1:26" s="3" customFormat="1" ht="15" customHeight="1" thickBot="1" x14ac:dyDescent="0.25">
      <c r="A71" s="619"/>
      <c r="B71" s="1047" t="s">
        <v>41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1035"/>
      <c r="X71" s="1036"/>
      <c r="Y71" s="10"/>
      <c r="Z71" s="10"/>
    </row>
    <row r="72" spans="1:26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1035"/>
      <c r="X72" s="1036"/>
      <c r="Y72" s="10"/>
    </row>
    <row r="73" spans="1:26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1037"/>
      <c r="X73" s="1038"/>
      <c r="Y73" s="10"/>
    </row>
    <row r="74" spans="1:26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788</v>
      </c>
      <c r="I74" s="94" t="s">
        <v>42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50" t="s">
        <v>88</v>
      </c>
      <c r="X74" s="1051"/>
      <c r="Y74" s="10"/>
      <c r="Z74" s="10"/>
    </row>
    <row r="75" spans="1:26" s="3" customFormat="1" ht="15" customHeight="1" thickBot="1" x14ac:dyDescent="0.25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1052"/>
      <c r="X75" s="1053"/>
      <c r="Y75" s="10"/>
      <c r="Z75" s="10"/>
    </row>
    <row r="76" spans="1:26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1052"/>
      <c r="X76" s="1053"/>
      <c r="Y76" s="10"/>
    </row>
    <row r="77" spans="1:26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1054"/>
      <c r="X77" s="1055"/>
      <c r="Y77" s="10"/>
    </row>
    <row r="78" spans="1:26" s="3" customFormat="1" ht="15" customHeight="1" thickTop="1" x14ac:dyDescent="0.2">
      <c r="A78" s="619"/>
      <c r="B78" s="476" t="s">
        <v>48</v>
      </c>
      <c r="C78" s="477"/>
      <c r="D78" s="477"/>
      <c r="E78" s="477"/>
      <c r="F78" s="477"/>
      <c r="G78" s="478"/>
      <c r="H78" s="63" t="s">
        <v>787</v>
      </c>
      <c r="I78" s="94" t="s">
        <v>42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6" t="s">
        <v>89</v>
      </c>
      <c r="X78" s="1057"/>
      <c r="Y78" s="10"/>
      <c r="Z78" s="10"/>
    </row>
    <row r="79" spans="1:26" s="3" customFormat="1" ht="15" customHeight="1" thickBot="1" x14ac:dyDescent="0.25">
      <c r="A79" s="619"/>
      <c r="B79" s="1047" t="s">
        <v>43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1058"/>
      <c r="X79" s="1059"/>
    </row>
    <row r="80" spans="1:26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70</v>
      </c>
      <c r="I80" s="485"/>
      <c r="J80" s="485"/>
      <c r="K80" s="486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1058"/>
      <c r="X80" s="1059"/>
    </row>
    <row r="81" spans="1:24" s="3" customFormat="1" ht="15" customHeight="1" thickBot="1" x14ac:dyDescent="0.25">
      <c r="A81" s="619"/>
      <c r="B81" s="357"/>
      <c r="C81" s="358"/>
      <c r="D81" s="358"/>
      <c r="E81" s="358"/>
      <c r="F81" s="358"/>
      <c r="G81" s="544"/>
      <c r="H81" s="1062" t="s">
        <v>40</v>
      </c>
      <c r="I81" s="1062"/>
      <c r="J81" s="1062"/>
      <c r="K81" s="1063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1060"/>
      <c r="X81" s="1061"/>
    </row>
    <row r="82" spans="1:24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42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64" t="s">
        <v>90</v>
      </c>
      <c r="X82" s="1065"/>
    </row>
    <row r="83" spans="1:24" s="3" customFormat="1" ht="15" customHeight="1" thickBot="1" x14ac:dyDescent="0.25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1066"/>
      <c r="X83" s="1067"/>
    </row>
    <row r="84" spans="1:24" s="3" customFormat="1" ht="15" customHeight="1" x14ac:dyDescent="0.2">
      <c r="A84" s="619"/>
      <c r="B84" s="493"/>
      <c r="C84" s="494"/>
      <c r="D84" s="494"/>
      <c r="E84" s="494"/>
      <c r="F84" s="494"/>
      <c r="G84" s="495"/>
      <c r="H84" s="485" t="s">
        <v>786</v>
      </c>
      <c r="I84" s="485"/>
      <c r="J84" s="485"/>
      <c r="K84" s="486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1066"/>
      <c r="X84" s="1067"/>
    </row>
    <row r="85" spans="1:24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70" t="s">
        <v>40</v>
      </c>
      <c r="I85" s="1071"/>
      <c r="J85" s="1071"/>
      <c r="K85" s="1072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1068"/>
      <c r="X85" s="1069"/>
    </row>
    <row r="86" spans="1:24" s="3" customFormat="1" ht="15" customHeight="1" thickTop="1" x14ac:dyDescent="0.2">
      <c r="A86" s="619"/>
      <c r="B86" s="479" t="s">
        <v>53</v>
      </c>
      <c r="C86" s="480"/>
      <c r="D86" s="480"/>
      <c r="E86" s="480"/>
      <c r="F86" s="480"/>
      <c r="G86" s="481"/>
      <c r="H86" s="110" t="s">
        <v>790</v>
      </c>
      <c r="I86" s="212" t="s">
        <v>723</v>
      </c>
      <c r="J86" s="745">
        <v>1</v>
      </c>
      <c r="K86" s="748"/>
      <c r="L86" s="905"/>
      <c r="M86" s="906"/>
      <c r="N86" s="907"/>
      <c r="O86" s="906"/>
      <c r="P86" s="907"/>
      <c r="Q86" s="906"/>
      <c r="R86" s="907"/>
      <c r="S86" s="906"/>
      <c r="T86" s="516" t="s">
        <v>64</v>
      </c>
      <c r="U86" s="517"/>
      <c r="W86" s="914" t="s">
        <v>721</v>
      </c>
      <c r="X86" s="915"/>
    </row>
    <row r="87" spans="1:24" s="3" customFormat="1" ht="15" customHeight="1" x14ac:dyDescent="0.2">
      <c r="A87" s="619"/>
      <c r="B87" s="482" t="s">
        <v>722</v>
      </c>
      <c r="C87" s="483"/>
      <c r="D87" s="483"/>
      <c r="E87" s="483"/>
      <c r="F87" s="483"/>
      <c r="G87" s="484"/>
      <c r="H87" s="112"/>
      <c r="I87" s="213" t="s">
        <v>724</v>
      </c>
      <c r="J87" s="746"/>
      <c r="K87" s="749"/>
      <c r="L87" s="918"/>
      <c r="M87" s="919"/>
      <c r="N87" s="920"/>
      <c r="O87" s="919"/>
      <c r="P87" s="920"/>
      <c r="Q87" s="919"/>
      <c r="R87" s="920"/>
      <c r="S87" s="919"/>
      <c r="T87" s="507" t="s">
        <v>63</v>
      </c>
      <c r="U87" s="508"/>
      <c r="W87" s="916"/>
      <c r="X87" s="917"/>
    </row>
    <row r="88" spans="1:24" s="3" customFormat="1" ht="15" customHeight="1" x14ac:dyDescent="0.2">
      <c r="A88" s="619"/>
      <c r="B88" s="482" t="s">
        <v>74</v>
      </c>
      <c r="C88" s="483"/>
      <c r="D88" s="483"/>
      <c r="E88" s="483"/>
      <c r="F88" s="483"/>
      <c r="G88" s="484"/>
      <c r="H88" s="112"/>
      <c r="I88" s="213" t="s">
        <v>725</v>
      </c>
      <c r="J88" s="746"/>
      <c r="K88" s="749"/>
      <c r="L88" s="921"/>
      <c r="M88" s="922"/>
      <c r="N88" s="923"/>
      <c r="O88" s="922"/>
      <c r="P88" s="923"/>
      <c r="Q88" s="922"/>
      <c r="R88" s="923"/>
      <c r="S88" s="922"/>
      <c r="T88" s="511" t="s">
        <v>52</v>
      </c>
      <c r="U88" s="512"/>
      <c r="W88" s="916"/>
      <c r="X88" s="917"/>
    </row>
    <row r="89" spans="1:24" s="3" customFormat="1" ht="15" customHeight="1" x14ac:dyDescent="0.2">
      <c r="A89" s="619"/>
      <c r="B89" s="454" t="s">
        <v>68</v>
      </c>
      <c r="C89" s="455"/>
      <c r="D89" s="455"/>
      <c r="E89" s="455"/>
      <c r="F89" s="455"/>
      <c r="G89" s="456"/>
      <c r="H89" s="112"/>
      <c r="I89" s="213" t="s">
        <v>726</v>
      </c>
      <c r="J89" s="746"/>
      <c r="K89" s="749"/>
      <c r="L89" s="432"/>
      <c r="M89" s="433"/>
      <c r="N89" s="434"/>
      <c r="O89" s="433"/>
      <c r="P89" s="434"/>
      <c r="Q89" s="433"/>
      <c r="R89" s="434"/>
      <c r="S89" s="433"/>
      <c r="T89" s="759" t="s">
        <v>65</v>
      </c>
      <c r="U89" s="760"/>
      <c r="W89" s="916"/>
      <c r="X89" s="917"/>
    </row>
    <row r="90" spans="1:24" s="3" customFormat="1" ht="15" customHeight="1" x14ac:dyDescent="0.25">
      <c r="A90" s="619"/>
      <c r="B90" s="502"/>
      <c r="C90" s="503"/>
      <c r="D90" s="503"/>
      <c r="E90" s="503"/>
      <c r="F90" s="503"/>
      <c r="G90" s="504"/>
      <c r="H90" s="112"/>
      <c r="I90" s="176"/>
      <c r="J90" s="746"/>
      <c r="K90" s="749"/>
      <c r="L90" s="543"/>
      <c r="M90" s="458"/>
      <c r="N90" s="457"/>
      <c r="O90" s="458"/>
      <c r="P90" s="457"/>
      <c r="Q90" s="458"/>
      <c r="R90" s="457"/>
      <c r="S90" s="458"/>
      <c r="T90" s="509" t="s">
        <v>66</v>
      </c>
      <c r="U90" s="510"/>
      <c r="W90" s="916"/>
      <c r="X90" s="917"/>
    </row>
    <row r="91" spans="1:24" s="3" customFormat="1" ht="15" customHeight="1" x14ac:dyDescent="0.25">
      <c r="A91" s="619"/>
      <c r="B91" s="357"/>
      <c r="C91" s="358"/>
      <c r="D91" s="358"/>
      <c r="E91" s="358"/>
      <c r="F91" s="358"/>
      <c r="G91" s="544"/>
      <c r="H91" s="114"/>
      <c r="I91" s="176"/>
      <c r="J91" s="746"/>
      <c r="K91" s="749"/>
      <c r="L91" s="505"/>
      <c r="M91" s="506"/>
      <c r="N91" s="515"/>
      <c r="O91" s="506"/>
      <c r="P91" s="515"/>
      <c r="Q91" s="506"/>
      <c r="R91" s="515"/>
      <c r="S91" s="506"/>
      <c r="T91" s="511" t="s">
        <v>67</v>
      </c>
      <c r="U91" s="512"/>
      <c r="W91" s="916"/>
      <c r="X91" s="917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/>
      <c r="J92" s="746"/>
      <c r="K92" s="749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916"/>
      <c r="X92" s="917"/>
    </row>
    <row r="93" spans="1:24" s="3" customFormat="1" ht="15" customHeight="1" x14ac:dyDescent="0.25">
      <c r="A93" s="619"/>
      <c r="B93" s="499"/>
      <c r="C93" s="500"/>
      <c r="D93" s="500"/>
      <c r="E93" s="500"/>
      <c r="F93" s="500"/>
      <c r="G93" s="501"/>
      <c r="H93" s="114"/>
      <c r="I93" s="176"/>
      <c r="J93" s="746"/>
      <c r="K93" s="749"/>
      <c r="L93" s="908" t="s">
        <v>107</v>
      </c>
      <c r="M93" s="910" t="s">
        <v>108</v>
      </c>
      <c r="N93" s="910" t="s">
        <v>109</v>
      </c>
      <c r="O93" s="910" t="s">
        <v>727</v>
      </c>
      <c r="P93" s="912"/>
      <c r="Q93" s="912"/>
      <c r="R93" s="912"/>
      <c r="S93" s="912"/>
      <c r="T93" s="912"/>
      <c r="U93" s="758" t="s">
        <v>44</v>
      </c>
      <c r="W93" s="916"/>
      <c r="X93" s="917"/>
    </row>
    <row r="94" spans="1:24" s="3" customFormat="1" ht="15" customHeight="1" thickBot="1" x14ac:dyDescent="0.3">
      <c r="A94" s="619"/>
      <c r="B94" s="451"/>
      <c r="C94" s="452"/>
      <c r="D94" s="452"/>
      <c r="E94" s="452"/>
      <c r="F94" s="452"/>
      <c r="G94" s="453"/>
      <c r="H94" s="117"/>
      <c r="I94" s="177"/>
      <c r="J94" s="747"/>
      <c r="K94" s="750"/>
      <c r="L94" s="909"/>
      <c r="M94" s="911"/>
      <c r="N94" s="911"/>
      <c r="O94" s="911"/>
      <c r="P94" s="913"/>
      <c r="Q94" s="913"/>
      <c r="R94" s="913"/>
      <c r="S94" s="913"/>
      <c r="T94" s="913"/>
      <c r="U94" s="757"/>
      <c r="W94" s="916"/>
      <c r="X94" s="917"/>
    </row>
    <row r="95" spans="1:24" s="3" customFormat="1" ht="15" customHeight="1" thickTop="1" x14ac:dyDescent="0.2">
      <c r="A95" s="619"/>
      <c r="B95" s="479" t="s">
        <v>53</v>
      </c>
      <c r="C95" s="480"/>
      <c r="D95" s="480"/>
      <c r="E95" s="480"/>
      <c r="F95" s="480"/>
      <c r="G95" s="481"/>
      <c r="H95" s="123" t="s">
        <v>790</v>
      </c>
      <c r="I95" s="216" t="s">
        <v>728</v>
      </c>
      <c r="J95" s="746">
        <v>1</v>
      </c>
      <c r="K95" s="749"/>
      <c r="L95" s="905"/>
      <c r="M95" s="906"/>
      <c r="N95" s="907"/>
      <c r="O95" s="906"/>
      <c r="P95" s="907"/>
      <c r="Q95" s="906"/>
      <c r="R95" s="907"/>
      <c r="S95" s="906"/>
      <c r="T95" s="516" t="s">
        <v>64</v>
      </c>
      <c r="U95" s="517"/>
      <c r="W95" s="1073" t="s">
        <v>718</v>
      </c>
      <c r="X95" s="1074"/>
    </row>
    <row r="96" spans="1:24" s="3" customFormat="1" ht="15" customHeight="1" x14ac:dyDescent="0.2">
      <c r="A96" s="619"/>
      <c r="B96" s="482" t="s">
        <v>75</v>
      </c>
      <c r="C96" s="483"/>
      <c r="D96" s="483"/>
      <c r="E96" s="483"/>
      <c r="F96" s="483"/>
      <c r="G96" s="484"/>
      <c r="H96" s="112"/>
      <c r="I96" s="216" t="s">
        <v>729</v>
      </c>
      <c r="J96" s="746"/>
      <c r="K96" s="749"/>
      <c r="L96" s="918"/>
      <c r="M96" s="919"/>
      <c r="N96" s="920"/>
      <c r="O96" s="919"/>
      <c r="P96" s="920"/>
      <c r="Q96" s="919"/>
      <c r="R96" s="920"/>
      <c r="S96" s="919"/>
      <c r="T96" s="507" t="s">
        <v>63</v>
      </c>
      <c r="U96" s="508"/>
      <c r="W96" s="1075"/>
      <c r="X96" s="1076"/>
    </row>
    <row r="97" spans="1:24" s="3" customFormat="1" ht="15" customHeight="1" x14ac:dyDescent="0.2">
      <c r="A97" s="619"/>
      <c r="B97" s="482" t="s">
        <v>74</v>
      </c>
      <c r="C97" s="483"/>
      <c r="D97" s="483"/>
      <c r="E97" s="483"/>
      <c r="F97" s="483"/>
      <c r="G97" s="484"/>
      <c r="H97" s="112"/>
      <c r="I97" s="216" t="s">
        <v>730</v>
      </c>
      <c r="J97" s="746"/>
      <c r="K97" s="749"/>
      <c r="L97" s="921"/>
      <c r="M97" s="922"/>
      <c r="N97" s="923"/>
      <c r="O97" s="922"/>
      <c r="P97" s="923"/>
      <c r="Q97" s="922"/>
      <c r="R97" s="923"/>
      <c r="S97" s="922"/>
      <c r="T97" s="511" t="s">
        <v>52</v>
      </c>
      <c r="U97" s="512"/>
      <c r="W97" s="1075"/>
      <c r="X97" s="1076"/>
    </row>
    <row r="98" spans="1:24" s="3" customFormat="1" ht="15" customHeight="1" x14ac:dyDescent="0.2">
      <c r="A98" s="619"/>
      <c r="B98" s="454" t="s">
        <v>68</v>
      </c>
      <c r="C98" s="455"/>
      <c r="D98" s="455"/>
      <c r="E98" s="455"/>
      <c r="F98" s="455"/>
      <c r="G98" s="456"/>
      <c r="H98" s="112"/>
      <c r="I98" s="216" t="s">
        <v>731</v>
      </c>
      <c r="J98" s="746"/>
      <c r="K98" s="749"/>
      <c r="L98" s="432"/>
      <c r="M98" s="433"/>
      <c r="N98" s="434"/>
      <c r="O98" s="433"/>
      <c r="P98" s="434"/>
      <c r="Q98" s="433"/>
      <c r="R98" s="434"/>
      <c r="S98" s="433"/>
      <c r="T98" s="759" t="s">
        <v>65</v>
      </c>
      <c r="U98" s="760"/>
      <c r="W98" s="1075"/>
      <c r="X98" s="1076"/>
    </row>
    <row r="99" spans="1:24" s="3" customFormat="1" ht="15" customHeight="1" x14ac:dyDescent="0.2">
      <c r="A99" s="619"/>
      <c r="B99" s="502"/>
      <c r="C99" s="503"/>
      <c r="D99" s="503"/>
      <c r="E99" s="503"/>
      <c r="F99" s="503"/>
      <c r="G99" s="504"/>
      <c r="H99" s="112"/>
      <c r="I99" s="216" t="s">
        <v>59</v>
      </c>
      <c r="J99" s="746"/>
      <c r="K99" s="749"/>
      <c r="L99" s="543"/>
      <c r="M99" s="458"/>
      <c r="N99" s="457"/>
      <c r="O99" s="458"/>
      <c r="P99" s="457"/>
      <c r="Q99" s="458"/>
      <c r="R99" s="457"/>
      <c r="S99" s="458"/>
      <c r="T99" s="509" t="s">
        <v>66</v>
      </c>
      <c r="U99" s="510"/>
      <c r="W99" s="1075"/>
      <c r="X99" s="1076"/>
    </row>
    <row r="100" spans="1:24" s="3" customFormat="1" ht="15" customHeight="1" x14ac:dyDescent="0.2">
      <c r="A100" s="619"/>
      <c r="B100" s="357"/>
      <c r="C100" s="358"/>
      <c r="D100" s="358"/>
      <c r="E100" s="358"/>
      <c r="F100" s="358"/>
      <c r="G100" s="544"/>
      <c r="H100" s="114"/>
      <c r="I100" s="217"/>
      <c r="J100" s="746"/>
      <c r="K100" s="749"/>
      <c r="L100" s="505"/>
      <c r="M100" s="506"/>
      <c r="N100" s="515"/>
      <c r="O100" s="506"/>
      <c r="P100" s="515"/>
      <c r="Q100" s="506"/>
      <c r="R100" s="515"/>
      <c r="S100" s="506"/>
      <c r="T100" s="511" t="s">
        <v>67</v>
      </c>
      <c r="U100" s="512"/>
      <c r="W100" s="1075"/>
      <c r="X100" s="1076"/>
    </row>
    <row r="101" spans="1:24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217"/>
      <c r="J101" s="746"/>
      <c r="K101" s="749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1075"/>
      <c r="X101" s="1076"/>
    </row>
    <row r="102" spans="1:24" s="3" customFormat="1" ht="15" customHeight="1" x14ac:dyDescent="0.2">
      <c r="A102" s="619"/>
      <c r="B102" s="499"/>
      <c r="C102" s="500"/>
      <c r="D102" s="500"/>
      <c r="E102" s="500"/>
      <c r="F102" s="500"/>
      <c r="G102" s="501"/>
      <c r="H102" s="114"/>
      <c r="I102" s="217"/>
      <c r="J102" s="746"/>
      <c r="K102" s="749"/>
      <c r="L102" s="908" t="s">
        <v>732</v>
      </c>
      <c r="M102" s="910" t="s">
        <v>733</v>
      </c>
      <c r="N102" s="910" t="s">
        <v>734</v>
      </c>
      <c r="O102" s="910" t="s">
        <v>735</v>
      </c>
      <c r="P102" s="910" t="s">
        <v>103</v>
      </c>
      <c r="Q102" s="912"/>
      <c r="R102" s="912"/>
      <c r="S102" s="912"/>
      <c r="T102" s="912"/>
      <c r="U102" s="758" t="s">
        <v>44</v>
      </c>
      <c r="W102" s="1075"/>
      <c r="X102" s="1076"/>
    </row>
    <row r="103" spans="1:24" s="3" customFormat="1" ht="15" customHeight="1" thickBot="1" x14ac:dyDescent="0.25">
      <c r="A103" s="619"/>
      <c r="B103" s="451"/>
      <c r="C103" s="452"/>
      <c r="D103" s="452"/>
      <c r="E103" s="452"/>
      <c r="F103" s="452"/>
      <c r="G103" s="453"/>
      <c r="H103" s="117"/>
      <c r="I103" s="218"/>
      <c r="J103" s="747"/>
      <c r="K103" s="750"/>
      <c r="L103" s="909"/>
      <c r="M103" s="911"/>
      <c r="N103" s="911"/>
      <c r="O103" s="911"/>
      <c r="P103" s="911"/>
      <c r="Q103" s="913"/>
      <c r="R103" s="913"/>
      <c r="S103" s="913"/>
      <c r="T103" s="913"/>
      <c r="U103" s="757"/>
      <c r="W103" s="1075"/>
      <c r="X103" s="1076"/>
    </row>
    <row r="104" spans="1:24" s="3" customFormat="1" ht="15" customHeight="1" thickTop="1" x14ac:dyDescent="0.25">
      <c r="A104" s="619"/>
      <c r="B104" s="479" t="s">
        <v>53</v>
      </c>
      <c r="C104" s="480"/>
      <c r="D104" s="480"/>
      <c r="E104" s="480"/>
      <c r="F104" s="480"/>
      <c r="G104" s="481"/>
      <c r="H104" s="110" t="s">
        <v>790</v>
      </c>
      <c r="I104" s="176" t="s">
        <v>736</v>
      </c>
      <c r="J104" s="745">
        <v>1</v>
      </c>
      <c r="K104" s="748"/>
      <c r="L104" s="905"/>
      <c r="M104" s="906"/>
      <c r="N104" s="907"/>
      <c r="O104" s="906"/>
      <c r="P104" s="907"/>
      <c r="Q104" s="906"/>
      <c r="R104" s="907"/>
      <c r="S104" s="906"/>
      <c r="T104" s="516" t="s">
        <v>64</v>
      </c>
      <c r="U104" s="517"/>
      <c r="W104" s="1077" t="s">
        <v>719</v>
      </c>
      <c r="X104" s="1078"/>
    </row>
    <row r="105" spans="1:24" s="3" customFormat="1" ht="15" customHeight="1" x14ac:dyDescent="0.25">
      <c r="A105" s="619"/>
      <c r="B105" s="482" t="s">
        <v>73</v>
      </c>
      <c r="C105" s="483"/>
      <c r="D105" s="483"/>
      <c r="E105" s="483"/>
      <c r="F105" s="483"/>
      <c r="G105" s="484"/>
      <c r="H105" s="112"/>
      <c r="I105" s="176" t="s">
        <v>737</v>
      </c>
      <c r="J105" s="746"/>
      <c r="K105" s="749"/>
      <c r="L105" s="918"/>
      <c r="M105" s="919"/>
      <c r="N105" s="920"/>
      <c r="O105" s="919"/>
      <c r="P105" s="920"/>
      <c r="Q105" s="919"/>
      <c r="R105" s="920"/>
      <c r="S105" s="919"/>
      <c r="T105" s="507" t="s">
        <v>63</v>
      </c>
      <c r="U105" s="508"/>
      <c r="W105" s="1079"/>
      <c r="X105" s="1080"/>
    </row>
    <row r="106" spans="1:24" s="3" customFormat="1" ht="15" customHeight="1" x14ac:dyDescent="0.25">
      <c r="A106" s="619"/>
      <c r="B106" s="482" t="s">
        <v>74</v>
      </c>
      <c r="C106" s="483"/>
      <c r="D106" s="483"/>
      <c r="E106" s="483"/>
      <c r="F106" s="483"/>
      <c r="G106" s="484"/>
      <c r="H106" s="112"/>
      <c r="I106" s="176" t="s">
        <v>738</v>
      </c>
      <c r="J106" s="746"/>
      <c r="K106" s="749"/>
      <c r="L106" s="921"/>
      <c r="M106" s="922"/>
      <c r="N106" s="923"/>
      <c r="O106" s="922"/>
      <c r="P106" s="923"/>
      <c r="Q106" s="922"/>
      <c r="R106" s="923"/>
      <c r="S106" s="922"/>
      <c r="T106" s="511" t="s">
        <v>52</v>
      </c>
      <c r="U106" s="512"/>
      <c r="W106" s="1079"/>
      <c r="X106" s="1080"/>
    </row>
    <row r="107" spans="1:24" s="3" customFormat="1" ht="15" customHeight="1" x14ac:dyDescent="0.25">
      <c r="A107" s="619"/>
      <c r="B107" s="454" t="s">
        <v>68</v>
      </c>
      <c r="C107" s="455"/>
      <c r="D107" s="455"/>
      <c r="E107" s="455"/>
      <c r="F107" s="455"/>
      <c r="G107" s="456"/>
      <c r="H107" s="112"/>
      <c r="I107" s="176" t="s">
        <v>739</v>
      </c>
      <c r="J107" s="746"/>
      <c r="K107" s="749"/>
      <c r="L107" s="432"/>
      <c r="M107" s="433"/>
      <c r="N107" s="434"/>
      <c r="O107" s="433"/>
      <c r="P107" s="434"/>
      <c r="Q107" s="433"/>
      <c r="R107" s="434"/>
      <c r="S107" s="433"/>
      <c r="T107" s="759" t="s">
        <v>65</v>
      </c>
      <c r="U107" s="760"/>
      <c r="W107" s="1079"/>
      <c r="X107" s="1080"/>
    </row>
    <row r="108" spans="1:24" s="3" customFormat="1" ht="15" customHeight="1" x14ac:dyDescent="0.25">
      <c r="A108" s="619"/>
      <c r="B108" s="502"/>
      <c r="C108" s="503"/>
      <c r="D108" s="503"/>
      <c r="E108" s="503"/>
      <c r="F108" s="503"/>
      <c r="G108" s="504"/>
      <c r="H108" s="112"/>
      <c r="I108" s="176" t="s">
        <v>81</v>
      </c>
      <c r="J108" s="746"/>
      <c r="K108" s="749"/>
      <c r="L108" s="543"/>
      <c r="M108" s="458"/>
      <c r="N108" s="457"/>
      <c r="O108" s="458"/>
      <c r="P108" s="457"/>
      <c r="Q108" s="458"/>
      <c r="R108" s="457"/>
      <c r="S108" s="458"/>
      <c r="T108" s="509" t="s">
        <v>66</v>
      </c>
      <c r="U108" s="510"/>
      <c r="W108" s="1079"/>
      <c r="X108" s="1080"/>
    </row>
    <row r="109" spans="1:24" s="3" customFormat="1" ht="15" customHeight="1" x14ac:dyDescent="0.25">
      <c r="A109" s="619"/>
      <c r="B109" s="357"/>
      <c r="C109" s="358"/>
      <c r="D109" s="358"/>
      <c r="E109" s="358"/>
      <c r="F109" s="358"/>
      <c r="G109" s="544"/>
      <c r="H109" s="114"/>
      <c r="I109" s="176"/>
      <c r="J109" s="746"/>
      <c r="K109" s="749"/>
      <c r="L109" s="505"/>
      <c r="M109" s="506"/>
      <c r="N109" s="515"/>
      <c r="O109" s="506"/>
      <c r="P109" s="515"/>
      <c r="Q109" s="506"/>
      <c r="R109" s="515"/>
      <c r="S109" s="506"/>
      <c r="T109" s="511" t="s">
        <v>67</v>
      </c>
      <c r="U109" s="512"/>
      <c r="W109" s="1079"/>
      <c r="X109" s="1080"/>
    </row>
    <row r="110" spans="1:24" s="3" customFormat="1" ht="15" customHeight="1" x14ac:dyDescent="0.25">
      <c r="A110" s="619"/>
      <c r="B110" s="357"/>
      <c r="C110" s="358"/>
      <c r="D110" s="358"/>
      <c r="E110" s="358"/>
      <c r="F110" s="358"/>
      <c r="G110" s="544"/>
      <c r="H110" s="114"/>
      <c r="I110" s="176"/>
      <c r="J110" s="746"/>
      <c r="K110" s="749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1079"/>
      <c r="X110" s="1080"/>
    </row>
    <row r="111" spans="1:24" s="3" customFormat="1" ht="15" customHeight="1" x14ac:dyDescent="0.25">
      <c r="A111" s="619"/>
      <c r="B111" s="499"/>
      <c r="C111" s="500"/>
      <c r="D111" s="500"/>
      <c r="E111" s="500"/>
      <c r="F111" s="500"/>
      <c r="G111" s="501"/>
      <c r="H111" s="114"/>
      <c r="I111" s="176"/>
      <c r="J111" s="746"/>
      <c r="K111" s="749"/>
      <c r="L111" s="908" t="s">
        <v>732</v>
      </c>
      <c r="M111" s="910" t="s">
        <v>733</v>
      </c>
      <c r="N111" s="910" t="s">
        <v>734</v>
      </c>
      <c r="O111" s="910" t="s">
        <v>735</v>
      </c>
      <c r="P111" s="910" t="s">
        <v>103</v>
      </c>
      <c r="Q111" s="912"/>
      <c r="R111" s="912"/>
      <c r="S111" s="912"/>
      <c r="T111" s="912"/>
      <c r="U111" s="758" t="s">
        <v>44</v>
      </c>
      <c r="W111" s="1079"/>
      <c r="X111" s="1080"/>
    </row>
    <row r="112" spans="1:24" s="3" customFormat="1" ht="15" customHeight="1" thickBot="1" x14ac:dyDescent="0.3">
      <c r="A112" s="619"/>
      <c r="B112" s="451"/>
      <c r="C112" s="452"/>
      <c r="D112" s="452"/>
      <c r="E112" s="452"/>
      <c r="F112" s="452"/>
      <c r="G112" s="453"/>
      <c r="H112" s="117"/>
      <c r="I112" s="177"/>
      <c r="J112" s="747"/>
      <c r="K112" s="750"/>
      <c r="L112" s="909"/>
      <c r="M112" s="911"/>
      <c r="N112" s="911"/>
      <c r="O112" s="911"/>
      <c r="P112" s="911"/>
      <c r="Q112" s="913"/>
      <c r="R112" s="913"/>
      <c r="S112" s="913"/>
      <c r="T112" s="913"/>
      <c r="U112" s="757"/>
      <c r="W112" s="1079"/>
      <c r="X112" s="1080"/>
    </row>
    <row r="113" spans="1:26" s="3" customFormat="1" ht="15" customHeight="1" thickTop="1" x14ac:dyDescent="0.2">
      <c r="A113" s="619"/>
      <c r="B113" s="479" t="s">
        <v>53</v>
      </c>
      <c r="C113" s="480"/>
      <c r="D113" s="480"/>
      <c r="E113" s="480"/>
      <c r="F113" s="480"/>
      <c r="G113" s="481"/>
      <c r="H113" s="110" t="s">
        <v>790</v>
      </c>
      <c r="I113" s="113" t="s">
        <v>741</v>
      </c>
      <c r="J113" s="745">
        <v>1</v>
      </c>
      <c r="K113" s="748"/>
      <c r="L113" s="905"/>
      <c r="M113" s="906"/>
      <c r="N113" s="907"/>
      <c r="O113" s="906"/>
      <c r="P113" s="907"/>
      <c r="Q113" s="906"/>
      <c r="R113" s="907"/>
      <c r="S113" s="906"/>
      <c r="T113" s="516" t="s">
        <v>64</v>
      </c>
      <c r="U113" s="517"/>
      <c r="W113" s="1081" t="s">
        <v>720</v>
      </c>
      <c r="X113" s="1082"/>
    </row>
    <row r="114" spans="1:26" s="3" customFormat="1" ht="15" customHeight="1" x14ac:dyDescent="0.2">
      <c r="A114" s="619"/>
      <c r="B114" s="482" t="s">
        <v>93</v>
      </c>
      <c r="C114" s="483"/>
      <c r="D114" s="483"/>
      <c r="E114" s="483"/>
      <c r="F114" s="483"/>
      <c r="G114" s="484"/>
      <c r="H114" s="112"/>
      <c r="I114" s="113" t="s">
        <v>742</v>
      </c>
      <c r="J114" s="746"/>
      <c r="K114" s="749"/>
      <c r="L114" s="918"/>
      <c r="M114" s="919"/>
      <c r="N114" s="920"/>
      <c r="O114" s="919"/>
      <c r="P114" s="920"/>
      <c r="Q114" s="919"/>
      <c r="R114" s="920"/>
      <c r="S114" s="919"/>
      <c r="T114" s="507" t="s">
        <v>63</v>
      </c>
      <c r="U114" s="508"/>
      <c r="W114" s="1083"/>
      <c r="X114" s="1084"/>
    </row>
    <row r="115" spans="1:26" s="3" customFormat="1" ht="15" customHeight="1" x14ac:dyDescent="0.2">
      <c r="A115" s="619"/>
      <c r="B115" s="482" t="s">
        <v>740</v>
      </c>
      <c r="C115" s="483"/>
      <c r="D115" s="483"/>
      <c r="E115" s="483"/>
      <c r="F115" s="483"/>
      <c r="G115" s="484"/>
      <c r="H115" s="112"/>
      <c r="I115" s="113" t="s">
        <v>743</v>
      </c>
      <c r="J115" s="746"/>
      <c r="K115" s="749"/>
      <c r="L115" s="921"/>
      <c r="M115" s="922"/>
      <c r="N115" s="923"/>
      <c r="O115" s="922"/>
      <c r="P115" s="923"/>
      <c r="Q115" s="922"/>
      <c r="R115" s="923"/>
      <c r="S115" s="922"/>
      <c r="T115" s="511" t="s">
        <v>52</v>
      </c>
      <c r="U115" s="512"/>
      <c r="W115" s="1083"/>
      <c r="X115" s="1084"/>
    </row>
    <row r="116" spans="1:26" s="3" customFormat="1" ht="15" customHeight="1" x14ac:dyDescent="0.2">
      <c r="A116" s="619"/>
      <c r="B116" s="454" t="s">
        <v>68</v>
      </c>
      <c r="C116" s="455"/>
      <c r="D116" s="455"/>
      <c r="E116" s="455"/>
      <c r="F116" s="455"/>
      <c r="G116" s="456"/>
      <c r="H116" s="112"/>
      <c r="I116" s="113" t="s">
        <v>744</v>
      </c>
      <c r="J116" s="746"/>
      <c r="K116" s="749"/>
      <c r="L116" s="432"/>
      <c r="M116" s="433"/>
      <c r="N116" s="434"/>
      <c r="O116" s="433"/>
      <c r="P116" s="434"/>
      <c r="Q116" s="433"/>
      <c r="R116" s="434"/>
      <c r="S116" s="433"/>
      <c r="T116" s="759" t="s">
        <v>65</v>
      </c>
      <c r="U116" s="760"/>
      <c r="W116" s="1083"/>
      <c r="X116" s="1084"/>
    </row>
    <row r="117" spans="1:26" s="3" customFormat="1" ht="15" customHeight="1" x14ac:dyDescent="0.2">
      <c r="A117" s="619"/>
      <c r="B117" s="502"/>
      <c r="C117" s="503"/>
      <c r="D117" s="503"/>
      <c r="E117" s="503"/>
      <c r="F117" s="503"/>
      <c r="G117" s="504"/>
      <c r="H117" s="112"/>
      <c r="I117" s="113" t="s">
        <v>99</v>
      </c>
      <c r="J117" s="746"/>
      <c r="K117" s="749"/>
      <c r="L117" s="543"/>
      <c r="M117" s="458"/>
      <c r="N117" s="457"/>
      <c r="O117" s="458"/>
      <c r="P117" s="457"/>
      <c r="Q117" s="458"/>
      <c r="R117" s="457"/>
      <c r="S117" s="458"/>
      <c r="T117" s="509" t="s">
        <v>66</v>
      </c>
      <c r="U117" s="510"/>
      <c r="W117" s="1083"/>
      <c r="X117" s="1084"/>
    </row>
    <row r="118" spans="1:26" s="3" customFormat="1" ht="15" customHeight="1" x14ac:dyDescent="0.2">
      <c r="A118" s="619"/>
      <c r="B118" s="357"/>
      <c r="C118" s="358"/>
      <c r="D118" s="358"/>
      <c r="E118" s="358"/>
      <c r="F118" s="358"/>
      <c r="G118" s="544"/>
      <c r="H118" s="114"/>
      <c r="I118" s="113"/>
      <c r="J118" s="746"/>
      <c r="K118" s="749"/>
      <c r="L118" s="505"/>
      <c r="M118" s="506"/>
      <c r="N118" s="515"/>
      <c r="O118" s="506"/>
      <c r="P118" s="515"/>
      <c r="Q118" s="506"/>
      <c r="R118" s="515"/>
      <c r="S118" s="506"/>
      <c r="T118" s="511" t="s">
        <v>67</v>
      </c>
      <c r="U118" s="512"/>
      <c r="W118" s="1083"/>
      <c r="X118" s="1084"/>
    </row>
    <row r="119" spans="1:26" s="3" customFormat="1" ht="15" customHeight="1" x14ac:dyDescent="0.2">
      <c r="A119" s="619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1083"/>
      <c r="X119" s="1084"/>
    </row>
    <row r="120" spans="1:26" s="3" customFormat="1" ht="15" customHeight="1" x14ac:dyDescent="0.2">
      <c r="A120" s="619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908" t="s">
        <v>732</v>
      </c>
      <c r="M120" s="910" t="s">
        <v>733</v>
      </c>
      <c r="N120" s="910" t="s">
        <v>734</v>
      </c>
      <c r="O120" s="910" t="s">
        <v>735</v>
      </c>
      <c r="P120" s="910" t="s">
        <v>103</v>
      </c>
      <c r="Q120" s="1085"/>
      <c r="R120" s="1085"/>
      <c r="S120" s="1085"/>
      <c r="T120" s="1085"/>
      <c r="U120" s="758" t="s">
        <v>44</v>
      </c>
      <c r="W120" s="1083"/>
      <c r="X120" s="1084"/>
    </row>
    <row r="121" spans="1:26" s="3" customFormat="1" ht="15" customHeight="1" thickBot="1" x14ac:dyDescent="0.25">
      <c r="A121" s="619"/>
      <c r="B121" s="451"/>
      <c r="C121" s="452"/>
      <c r="D121" s="452"/>
      <c r="E121" s="452"/>
      <c r="F121" s="452"/>
      <c r="G121" s="453"/>
      <c r="H121" s="117"/>
      <c r="I121" s="178"/>
      <c r="J121" s="747"/>
      <c r="K121" s="750"/>
      <c r="L121" s="909"/>
      <c r="M121" s="911"/>
      <c r="N121" s="911"/>
      <c r="O121" s="911"/>
      <c r="P121" s="911"/>
      <c r="Q121" s="1086"/>
      <c r="R121" s="1086"/>
      <c r="S121" s="1086"/>
      <c r="T121" s="1086"/>
      <c r="U121" s="757"/>
      <c r="W121" s="1083"/>
      <c r="X121" s="1084"/>
    </row>
    <row r="122" spans="1:26" s="3" customFormat="1" ht="15" customHeight="1" thickTop="1" x14ac:dyDescent="0.2">
      <c r="A122" s="619"/>
      <c r="B122" s="479"/>
      <c r="C122" s="480"/>
      <c r="D122" s="480"/>
      <c r="E122" s="480"/>
      <c r="F122" s="480"/>
      <c r="G122" s="481"/>
      <c r="H122" s="110" t="s">
        <v>790</v>
      </c>
      <c r="I122" s="111"/>
      <c r="J122" s="745">
        <v>2</v>
      </c>
      <c r="K122" s="748"/>
      <c r="L122" s="905"/>
      <c r="M122" s="906"/>
      <c r="N122" s="907"/>
      <c r="O122" s="906"/>
      <c r="P122" s="907"/>
      <c r="Q122" s="906"/>
      <c r="R122" s="907"/>
      <c r="S122" s="906"/>
      <c r="T122" s="516" t="s">
        <v>64</v>
      </c>
      <c r="U122" s="517"/>
      <c r="W122" s="1073" t="s">
        <v>141</v>
      </c>
      <c r="X122" s="1087"/>
      <c r="Y122" s="1089" t="s">
        <v>112</v>
      </c>
      <c r="Z122" s="1090"/>
    </row>
    <row r="123" spans="1:26" s="3" customFormat="1" ht="15" customHeight="1" x14ac:dyDescent="0.2">
      <c r="A123" s="619"/>
      <c r="B123" s="482"/>
      <c r="C123" s="483"/>
      <c r="D123" s="483"/>
      <c r="E123" s="483"/>
      <c r="F123" s="483"/>
      <c r="G123" s="484"/>
      <c r="H123" s="112"/>
      <c r="I123" s="113"/>
      <c r="J123" s="746"/>
      <c r="K123" s="749"/>
      <c r="L123" s="918"/>
      <c r="M123" s="919"/>
      <c r="N123" s="920"/>
      <c r="O123" s="919"/>
      <c r="P123" s="920"/>
      <c r="Q123" s="919"/>
      <c r="R123" s="920"/>
      <c r="S123" s="919"/>
      <c r="T123" s="507" t="s">
        <v>63</v>
      </c>
      <c r="U123" s="508"/>
      <c r="W123" s="1075"/>
      <c r="X123" s="1088"/>
      <c r="Y123" s="1091"/>
      <c r="Z123" s="1092"/>
    </row>
    <row r="124" spans="1:26" s="3" customFormat="1" ht="15" customHeight="1" x14ac:dyDescent="0.2">
      <c r="A124" s="619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21"/>
      <c r="M124" s="922"/>
      <c r="N124" s="923"/>
      <c r="O124" s="922"/>
      <c r="P124" s="923"/>
      <c r="Q124" s="922"/>
      <c r="R124" s="923"/>
      <c r="S124" s="922"/>
      <c r="T124" s="511" t="s">
        <v>52</v>
      </c>
      <c r="U124" s="512"/>
      <c r="W124" s="1075"/>
      <c r="X124" s="1088"/>
      <c r="Y124" s="1091"/>
      <c r="Z124" s="1092"/>
    </row>
    <row r="125" spans="1:26" s="3" customFormat="1" ht="15" customHeight="1" x14ac:dyDescent="0.2">
      <c r="A125" s="619"/>
      <c r="B125" s="454" t="s">
        <v>69</v>
      </c>
      <c r="C125" s="455"/>
      <c r="D125" s="455"/>
      <c r="E125" s="455"/>
      <c r="F125" s="455"/>
      <c r="G125" s="456"/>
      <c r="H125" s="112"/>
      <c r="I125" s="113"/>
      <c r="J125" s="746"/>
      <c r="K125" s="749"/>
      <c r="L125" s="432"/>
      <c r="M125" s="433"/>
      <c r="N125" s="434"/>
      <c r="O125" s="433"/>
      <c r="P125" s="434"/>
      <c r="Q125" s="433"/>
      <c r="R125" s="434"/>
      <c r="S125" s="433"/>
      <c r="T125" s="759" t="s">
        <v>65</v>
      </c>
      <c r="U125" s="760"/>
      <c r="W125" s="1075"/>
      <c r="X125" s="1088"/>
      <c r="Y125" s="1091"/>
      <c r="Z125" s="1092"/>
    </row>
    <row r="126" spans="1:26" s="3" customFormat="1" ht="15" customHeight="1" x14ac:dyDescent="0.2">
      <c r="A126" s="619"/>
      <c r="B126" s="454" t="s">
        <v>130</v>
      </c>
      <c r="C126" s="455"/>
      <c r="D126" s="455"/>
      <c r="E126" s="455"/>
      <c r="F126" s="455"/>
      <c r="G126" s="456"/>
      <c r="H126" s="112"/>
      <c r="I126" s="113"/>
      <c r="J126" s="746"/>
      <c r="K126" s="749"/>
      <c r="L126" s="543"/>
      <c r="M126" s="458"/>
      <c r="N126" s="457"/>
      <c r="O126" s="458"/>
      <c r="P126" s="457"/>
      <c r="Q126" s="458"/>
      <c r="R126" s="457"/>
      <c r="S126" s="458"/>
      <c r="T126" s="509" t="s">
        <v>66</v>
      </c>
      <c r="U126" s="510"/>
      <c r="W126" s="1075"/>
      <c r="X126" s="1088"/>
      <c r="Y126" s="1091"/>
      <c r="Z126" s="1092"/>
    </row>
    <row r="127" spans="1:26" s="3" customFormat="1" ht="15" customHeight="1" x14ac:dyDescent="0.2">
      <c r="A127" s="619"/>
      <c r="B127" s="357"/>
      <c r="C127" s="358"/>
      <c r="D127" s="358"/>
      <c r="E127" s="358"/>
      <c r="F127" s="358"/>
      <c r="G127" s="544"/>
      <c r="H127" s="114"/>
      <c r="I127" s="113"/>
      <c r="J127" s="746"/>
      <c r="K127" s="749"/>
      <c r="L127" s="505"/>
      <c r="M127" s="506"/>
      <c r="N127" s="515"/>
      <c r="O127" s="506"/>
      <c r="P127" s="515"/>
      <c r="Q127" s="506"/>
      <c r="R127" s="515"/>
      <c r="S127" s="506"/>
      <c r="T127" s="511" t="s">
        <v>67</v>
      </c>
      <c r="U127" s="512"/>
      <c r="W127" s="1075"/>
      <c r="X127" s="1088"/>
      <c r="Y127" s="1091"/>
      <c r="Z127" s="1092"/>
    </row>
    <row r="128" spans="1:26" s="3" customFormat="1" ht="15" customHeight="1" x14ac:dyDescent="0.2">
      <c r="A128" s="619"/>
      <c r="B128" s="499"/>
      <c r="C128" s="500"/>
      <c r="D128" s="500"/>
      <c r="E128" s="500"/>
      <c r="F128" s="500"/>
      <c r="G128" s="501"/>
      <c r="H128" s="114"/>
      <c r="I128" s="113"/>
      <c r="J128" s="746"/>
      <c r="K128" s="749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1075"/>
      <c r="X128" s="1088"/>
      <c r="Y128" s="1091"/>
      <c r="Z128" s="1092"/>
    </row>
    <row r="129" spans="1:31" s="3" customFormat="1" ht="15" customHeight="1" x14ac:dyDescent="0.2">
      <c r="A129" s="619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908"/>
      <c r="M129" s="910"/>
      <c r="N129" s="910"/>
      <c r="O129" s="910"/>
      <c r="P129" s="910"/>
      <c r="Q129" s="912"/>
      <c r="R129" s="912"/>
      <c r="S129" s="912"/>
      <c r="T129" s="912"/>
      <c r="U129" s="758" t="s">
        <v>44</v>
      </c>
      <c r="W129" s="1075"/>
      <c r="X129" s="1088"/>
      <c r="Y129" s="1091"/>
      <c r="Z129" s="1092"/>
    </row>
    <row r="130" spans="1:31" s="3" customFormat="1" ht="15" customHeight="1" thickBot="1" x14ac:dyDescent="0.25">
      <c r="A130" s="619"/>
      <c r="B130" s="451"/>
      <c r="C130" s="452"/>
      <c r="D130" s="452"/>
      <c r="E130" s="452"/>
      <c r="F130" s="452"/>
      <c r="G130" s="453"/>
      <c r="H130" s="117"/>
      <c r="I130" s="118"/>
      <c r="J130" s="747"/>
      <c r="K130" s="750"/>
      <c r="L130" s="909"/>
      <c r="M130" s="911"/>
      <c r="N130" s="911"/>
      <c r="O130" s="911"/>
      <c r="P130" s="911"/>
      <c r="Q130" s="913"/>
      <c r="R130" s="913"/>
      <c r="S130" s="913"/>
      <c r="T130" s="913"/>
      <c r="U130" s="757"/>
      <c r="W130" s="1075"/>
      <c r="X130" s="1088"/>
      <c r="Y130" s="1093"/>
      <c r="Z130" s="1094"/>
    </row>
    <row r="131" spans="1:31" ht="15" customHeight="1" thickTop="1" x14ac:dyDescent="0.2">
      <c r="A131" s="116"/>
      <c r="B131" s="479"/>
      <c r="C131" s="480"/>
      <c r="D131" s="480"/>
      <c r="E131" s="480"/>
      <c r="F131" s="480"/>
      <c r="G131" s="481"/>
      <c r="H131" s="110" t="s">
        <v>790</v>
      </c>
      <c r="I131" s="111"/>
      <c r="J131" s="745">
        <v>1</v>
      </c>
      <c r="K131" s="748"/>
      <c r="L131" s="905"/>
      <c r="M131" s="906"/>
      <c r="N131" s="907"/>
      <c r="O131" s="906"/>
      <c r="P131" s="907"/>
      <c r="Q131" s="906"/>
      <c r="R131" s="907"/>
      <c r="S131" s="906"/>
      <c r="T131" s="516" t="s">
        <v>64</v>
      </c>
      <c r="U131" s="517"/>
      <c r="V131" s="3"/>
      <c r="W131" s="1077" t="s">
        <v>142</v>
      </c>
      <c r="X131" s="1095"/>
    </row>
    <row r="132" spans="1:31" ht="15" customHeight="1" x14ac:dyDescent="0.2">
      <c r="A132" s="116"/>
      <c r="B132" s="482"/>
      <c r="C132" s="483"/>
      <c r="D132" s="483"/>
      <c r="E132" s="483"/>
      <c r="F132" s="483"/>
      <c r="G132" s="484"/>
      <c r="H132" s="112"/>
      <c r="I132" s="113"/>
      <c r="J132" s="746"/>
      <c r="K132" s="749"/>
      <c r="L132" s="918"/>
      <c r="M132" s="919"/>
      <c r="N132" s="920"/>
      <c r="O132" s="919"/>
      <c r="P132" s="920"/>
      <c r="Q132" s="919"/>
      <c r="R132" s="920"/>
      <c r="S132" s="919"/>
      <c r="T132" s="507" t="s">
        <v>63</v>
      </c>
      <c r="U132" s="508"/>
      <c r="V132" s="3"/>
      <c r="W132" s="1079"/>
      <c r="X132" s="1096"/>
    </row>
    <row r="133" spans="1:31" s="5" customFormat="1" ht="15" customHeight="1" x14ac:dyDescent="0.2">
      <c r="A133" s="116"/>
      <c r="B133" s="482"/>
      <c r="C133" s="483"/>
      <c r="D133" s="483"/>
      <c r="E133" s="483"/>
      <c r="F133" s="483"/>
      <c r="G133" s="484"/>
      <c r="H133" s="112"/>
      <c r="I133" s="113"/>
      <c r="J133" s="746"/>
      <c r="K133" s="749"/>
      <c r="L133" s="921"/>
      <c r="M133" s="922"/>
      <c r="N133" s="923"/>
      <c r="O133" s="922"/>
      <c r="P133" s="923"/>
      <c r="Q133" s="922"/>
      <c r="R133" s="923"/>
      <c r="S133" s="922"/>
      <c r="T133" s="511" t="s">
        <v>52</v>
      </c>
      <c r="U133" s="512"/>
      <c r="V133" s="3"/>
      <c r="W133" s="1079"/>
      <c r="X133" s="1096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454" t="s">
        <v>145</v>
      </c>
      <c r="C134" s="455"/>
      <c r="D134" s="455"/>
      <c r="E134" s="455"/>
      <c r="F134" s="455"/>
      <c r="G134" s="456"/>
      <c r="H134" s="112"/>
      <c r="I134" s="113"/>
      <c r="J134" s="746"/>
      <c r="K134" s="749"/>
      <c r="L134" s="432"/>
      <c r="M134" s="433"/>
      <c r="N134" s="434"/>
      <c r="O134" s="433"/>
      <c r="P134" s="434"/>
      <c r="Q134" s="433"/>
      <c r="R134" s="434"/>
      <c r="S134" s="433"/>
      <c r="T134" s="759" t="s">
        <v>65</v>
      </c>
      <c r="U134" s="760"/>
      <c r="V134" s="3"/>
      <c r="W134" s="1079"/>
      <c r="X134" s="1096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502"/>
      <c r="C135" s="503"/>
      <c r="D135" s="503"/>
      <c r="E135" s="503"/>
      <c r="F135" s="503"/>
      <c r="G135" s="504"/>
      <c r="H135" s="112"/>
      <c r="I135" s="113"/>
      <c r="J135" s="746"/>
      <c r="K135" s="749"/>
      <c r="L135" s="543"/>
      <c r="M135" s="458"/>
      <c r="N135" s="457"/>
      <c r="O135" s="458"/>
      <c r="P135" s="457"/>
      <c r="Q135" s="458"/>
      <c r="R135" s="457"/>
      <c r="S135" s="458"/>
      <c r="T135" s="509" t="s">
        <v>66</v>
      </c>
      <c r="U135" s="510"/>
      <c r="V135" s="3"/>
      <c r="W135" s="1079"/>
      <c r="X135" s="1096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357"/>
      <c r="C136" s="358"/>
      <c r="D136" s="358"/>
      <c r="E136" s="358"/>
      <c r="F136" s="358"/>
      <c r="G136" s="544"/>
      <c r="H136" s="114"/>
      <c r="I136" s="113"/>
      <c r="J136" s="746"/>
      <c r="K136" s="749"/>
      <c r="L136" s="505"/>
      <c r="M136" s="506"/>
      <c r="N136" s="515"/>
      <c r="O136" s="506"/>
      <c r="P136" s="515"/>
      <c r="Q136" s="506"/>
      <c r="R136" s="515"/>
      <c r="S136" s="506"/>
      <c r="T136" s="511" t="s">
        <v>67</v>
      </c>
      <c r="U136" s="512"/>
      <c r="V136" s="3"/>
      <c r="W136" s="1079"/>
      <c r="X136" s="1096"/>
    </row>
    <row r="137" spans="1:31" ht="15" customHeight="1" x14ac:dyDescent="0.2">
      <c r="A137" s="116"/>
      <c r="B137" s="499"/>
      <c r="C137" s="500"/>
      <c r="D137" s="500"/>
      <c r="E137" s="500"/>
      <c r="F137" s="500"/>
      <c r="G137" s="501"/>
      <c r="H137" s="114"/>
      <c r="I137" s="113"/>
      <c r="J137" s="746"/>
      <c r="K137" s="749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1079"/>
      <c r="X137" s="1096"/>
    </row>
    <row r="138" spans="1:31" ht="15" customHeight="1" x14ac:dyDescent="0.2">
      <c r="A138" s="116"/>
      <c r="B138" s="499"/>
      <c r="C138" s="500"/>
      <c r="D138" s="500"/>
      <c r="E138" s="500"/>
      <c r="F138" s="500"/>
      <c r="G138" s="501"/>
      <c r="H138" s="114"/>
      <c r="I138" s="113"/>
      <c r="J138" s="746"/>
      <c r="K138" s="749"/>
      <c r="L138" s="1097"/>
      <c r="M138" s="1099"/>
      <c r="N138" s="1099"/>
      <c r="O138" s="1099"/>
      <c r="P138" s="1099"/>
      <c r="Q138" s="1085"/>
      <c r="R138" s="1085"/>
      <c r="S138" s="1085"/>
      <c r="T138" s="1085"/>
      <c r="U138" s="758" t="s">
        <v>44</v>
      </c>
      <c r="V138" s="3"/>
      <c r="W138" s="1079"/>
      <c r="X138" s="1096"/>
    </row>
    <row r="139" spans="1:31" ht="15" customHeight="1" thickBot="1" x14ac:dyDescent="0.25">
      <c r="A139" s="116"/>
      <c r="B139" s="451"/>
      <c r="C139" s="452"/>
      <c r="D139" s="452"/>
      <c r="E139" s="452"/>
      <c r="F139" s="452"/>
      <c r="G139" s="453"/>
      <c r="H139" s="117"/>
      <c r="I139" s="118"/>
      <c r="J139" s="747"/>
      <c r="K139" s="750"/>
      <c r="L139" s="1098"/>
      <c r="M139" s="1100"/>
      <c r="N139" s="1100"/>
      <c r="O139" s="1100"/>
      <c r="P139" s="1100"/>
      <c r="Q139" s="1086"/>
      <c r="R139" s="1086"/>
      <c r="S139" s="1086"/>
      <c r="T139" s="1086"/>
      <c r="U139" s="757"/>
      <c r="V139" s="3"/>
      <c r="W139" s="1079"/>
      <c r="X139" s="1096"/>
    </row>
    <row r="140" spans="1:31" ht="15" customHeight="1" thickTop="1" x14ac:dyDescent="0.2">
      <c r="A140" s="116"/>
      <c r="B140" s="479"/>
      <c r="C140" s="480"/>
      <c r="D140" s="480"/>
      <c r="E140" s="480"/>
      <c r="F140" s="480"/>
      <c r="G140" s="481"/>
      <c r="H140" s="110"/>
      <c r="I140" s="111"/>
      <c r="J140" s="745">
        <v>1</v>
      </c>
      <c r="K140" s="748"/>
      <c r="L140" s="905"/>
      <c r="M140" s="906"/>
      <c r="N140" s="907"/>
      <c r="O140" s="906"/>
      <c r="P140" s="907"/>
      <c r="Q140" s="906"/>
      <c r="R140" s="907"/>
      <c r="S140" s="906"/>
      <c r="T140" s="516" t="s">
        <v>64</v>
      </c>
      <c r="U140" s="517"/>
      <c r="W140" s="1081" t="s">
        <v>146</v>
      </c>
      <c r="X140" s="1082"/>
    </row>
    <row r="141" spans="1:31" ht="15" customHeight="1" x14ac:dyDescent="0.2">
      <c r="A141" s="116"/>
      <c r="B141" s="482"/>
      <c r="C141" s="483"/>
      <c r="D141" s="483"/>
      <c r="E141" s="483"/>
      <c r="F141" s="483"/>
      <c r="G141" s="484"/>
      <c r="H141" s="112"/>
      <c r="I141" s="113"/>
      <c r="J141" s="746"/>
      <c r="K141" s="749"/>
      <c r="L141" s="918"/>
      <c r="M141" s="919"/>
      <c r="N141" s="920"/>
      <c r="O141" s="919"/>
      <c r="P141" s="920"/>
      <c r="Q141" s="919"/>
      <c r="R141" s="920"/>
      <c r="S141" s="919"/>
      <c r="T141" s="507" t="s">
        <v>63</v>
      </c>
      <c r="U141" s="508"/>
      <c r="W141" s="1083"/>
      <c r="X141" s="1084"/>
    </row>
    <row r="142" spans="1:31" ht="15" customHeight="1" x14ac:dyDescent="0.2">
      <c r="A142" s="116"/>
      <c r="B142" s="482"/>
      <c r="C142" s="483"/>
      <c r="D142" s="483"/>
      <c r="E142" s="483"/>
      <c r="F142" s="483"/>
      <c r="G142" s="484"/>
      <c r="H142" s="112"/>
      <c r="I142" s="113"/>
      <c r="J142" s="746"/>
      <c r="K142" s="749"/>
      <c r="L142" s="921"/>
      <c r="M142" s="922"/>
      <c r="N142" s="923"/>
      <c r="O142" s="922"/>
      <c r="P142" s="923"/>
      <c r="Q142" s="922"/>
      <c r="R142" s="923"/>
      <c r="S142" s="922"/>
      <c r="T142" s="511" t="s">
        <v>52</v>
      </c>
      <c r="U142" s="512"/>
      <c r="W142" s="1083"/>
      <c r="X142" s="1084"/>
    </row>
    <row r="143" spans="1:31" ht="15" customHeight="1" x14ac:dyDescent="0.2">
      <c r="A143" s="116"/>
      <c r="B143" s="454"/>
      <c r="C143" s="455"/>
      <c r="D143" s="455"/>
      <c r="E143" s="455"/>
      <c r="F143" s="455"/>
      <c r="G143" s="456"/>
      <c r="H143" s="112"/>
      <c r="I143" s="113"/>
      <c r="J143" s="746"/>
      <c r="K143" s="749"/>
      <c r="L143" s="432"/>
      <c r="M143" s="433"/>
      <c r="N143" s="434"/>
      <c r="O143" s="433"/>
      <c r="P143" s="434"/>
      <c r="Q143" s="433"/>
      <c r="R143" s="434"/>
      <c r="S143" s="433"/>
      <c r="T143" s="759" t="s">
        <v>65</v>
      </c>
      <c r="U143" s="760"/>
      <c r="W143" s="1083"/>
      <c r="X143" s="1084"/>
    </row>
    <row r="144" spans="1:31" ht="15" customHeight="1" x14ac:dyDescent="0.2">
      <c r="A144" s="116"/>
      <c r="B144" s="502"/>
      <c r="C144" s="503"/>
      <c r="D144" s="503"/>
      <c r="E144" s="503"/>
      <c r="F144" s="503"/>
      <c r="G144" s="504"/>
      <c r="H144" s="112"/>
      <c r="I144" s="113"/>
      <c r="J144" s="746"/>
      <c r="K144" s="749"/>
      <c r="L144" s="543"/>
      <c r="M144" s="458"/>
      <c r="N144" s="457"/>
      <c r="O144" s="458"/>
      <c r="P144" s="457"/>
      <c r="Q144" s="458"/>
      <c r="R144" s="457"/>
      <c r="S144" s="458"/>
      <c r="T144" s="509" t="s">
        <v>66</v>
      </c>
      <c r="U144" s="510"/>
      <c r="W144" s="1083"/>
      <c r="X144" s="1084"/>
    </row>
    <row r="145" spans="1:26" ht="15" customHeight="1" x14ac:dyDescent="0.2">
      <c r="A145" s="116"/>
      <c r="B145" s="357"/>
      <c r="C145" s="358"/>
      <c r="D145" s="358"/>
      <c r="E145" s="358"/>
      <c r="F145" s="358"/>
      <c r="G145" s="544"/>
      <c r="H145" s="114"/>
      <c r="I145" s="113"/>
      <c r="J145" s="746"/>
      <c r="K145" s="749"/>
      <c r="L145" s="505"/>
      <c r="M145" s="506"/>
      <c r="N145" s="515"/>
      <c r="O145" s="506"/>
      <c r="P145" s="515"/>
      <c r="Q145" s="506"/>
      <c r="R145" s="515"/>
      <c r="S145" s="506"/>
      <c r="T145" s="511" t="s">
        <v>67</v>
      </c>
      <c r="U145" s="512"/>
      <c r="W145" s="1083"/>
      <c r="X145" s="1084"/>
    </row>
    <row r="146" spans="1:26" ht="15" customHeight="1" x14ac:dyDescent="0.2">
      <c r="A146" s="116"/>
      <c r="B146" s="499"/>
      <c r="C146" s="500"/>
      <c r="D146" s="500"/>
      <c r="E146" s="500"/>
      <c r="F146" s="500"/>
      <c r="G146" s="501"/>
      <c r="H146" s="114"/>
      <c r="I146" s="113"/>
      <c r="J146" s="746"/>
      <c r="K146" s="749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1083"/>
      <c r="X146" s="1084"/>
    </row>
    <row r="147" spans="1:26" ht="15" customHeight="1" x14ac:dyDescent="0.2">
      <c r="A147" s="116"/>
      <c r="B147" s="499"/>
      <c r="C147" s="500"/>
      <c r="D147" s="500"/>
      <c r="E147" s="500"/>
      <c r="F147" s="500"/>
      <c r="G147" s="501"/>
      <c r="H147" s="114"/>
      <c r="I147" s="113"/>
      <c r="J147" s="746"/>
      <c r="K147" s="749"/>
      <c r="L147" s="1097"/>
      <c r="M147" s="1099"/>
      <c r="N147" s="1099"/>
      <c r="O147" s="1099"/>
      <c r="P147" s="1099"/>
      <c r="Q147" s="1085"/>
      <c r="R147" s="1085"/>
      <c r="S147" s="1085"/>
      <c r="T147" s="1085"/>
      <c r="U147" s="758" t="s">
        <v>44</v>
      </c>
      <c r="W147" s="1083"/>
      <c r="X147" s="1084"/>
    </row>
    <row r="148" spans="1:26" ht="15" customHeight="1" thickBot="1" x14ac:dyDescent="0.25">
      <c r="A148" s="116"/>
      <c r="B148" s="451"/>
      <c r="C148" s="452"/>
      <c r="D148" s="452"/>
      <c r="E148" s="452"/>
      <c r="F148" s="452"/>
      <c r="G148" s="453"/>
      <c r="H148" s="117"/>
      <c r="I148" s="118"/>
      <c r="J148" s="747"/>
      <c r="K148" s="750"/>
      <c r="L148" s="1098"/>
      <c r="M148" s="1100"/>
      <c r="N148" s="1100"/>
      <c r="O148" s="1100"/>
      <c r="P148" s="1100"/>
      <c r="Q148" s="1086"/>
      <c r="R148" s="1086"/>
      <c r="S148" s="1086"/>
      <c r="T148" s="1086"/>
      <c r="U148" s="757"/>
      <c r="W148" s="1083"/>
      <c r="X148" s="1084"/>
    </row>
    <row r="149" spans="1:26" ht="15" customHeight="1" x14ac:dyDescent="0.2">
      <c r="A149" s="116"/>
      <c r="B149" s="435" t="s">
        <v>746</v>
      </c>
      <c r="C149" s="436"/>
      <c r="D149" s="436"/>
      <c r="E149" s="436"/>
      <c r="F149" s="436"/>
      <c r="G149" s="437"/>
      <c r="H149" s="110" t="s">
        <v>745</v>
      </c>
      <c r="I149" s="219" t="s">
        <v>674</v>
      </c>
      <c r="J149" s="248"/>
      <c r="K149" s="249"/>
      <c r="L149" s="903" t="s">
        <v>750</v>
      </c>
      <c r="M149" s="904"/>
      <c r="N149" s="440"/>
      <c r="O149" s="441"/>
      <c r="P149" s="440"/>
      <c r="Q149" s="441"/>
      <c r="R149" s="440"/>
      <c r="S149" s="441"/>
      <c r="T149" s="440"/>
      <c r="U149" s="442"/>
      <c r="W149" s="819" t="s">
        <v>362</v>
      </c>
      <c r="X149" s="820"/>
      <c r="Z149" s="854" t="s">
        <v>755</v>
      </c>
    </row>
    <row r="150" spans="1:26" ht="15" customHeight="1" x14ac:dyDescent="0.2">
      <c r="A150" s="116"/>
      <c r="B150" s="533"/>
      <c r="C150" s="534"/>
      <c r="D150" s="534"/>
      <c r="E150" s="534"/>
      <c r="F150" s="534"/>
      <c r="G150" s="535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821"/>
      <c r="X150" s="822"/>
      <c r="Z150" s="855"/>
    </row>
    <row r="151" spans="1:26" ht="15" customHeight="1" thickBot="1" x14ac:dyDescent="0.25">
      <c r="A151" s="116"/>
      <c r="B151" s="459"/>
      <c r="C151" s="460"/>
      <c r="D151" s="460"/>
      <c r="E151" s="460"/>
      <c r="F151" s="460"/>
      <c r="G151" s="461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823"/>
      <c r="X151" s="824"/>
      <c r="Z151" s="855"/>
    </row>
    <row r="152" spans="1:26" ht="15" customHeight="1" x14ac:dyDescent="0.2">
      <c r="A152" s="116"/>
      <c r="B152" s="435" t="s">
        <v>746</v>
      </c>
      <c r="C152" s="436"/>
      <c r="D152" s="436"/>
      <c r="E152" s="436"/>
      <c r="F152" s="436"/>
      <c r="G152" s="437"/>
      <c r="H152" s="110" t="s">
        <v>745</v>
      </c>
      <c r="I152" s="219" t="s">
        <v>674</v>
      </c>
      <c r="J152" s="248"/>
      <c r="K152" s="249"/>
      <c r="L152" s="903" t="s">
        <v>750</v>
      </c>
      <c r="M152" s="904"/>
      <c r="N152" s="440"/>
      <c r="O152" s="441"/>
      <c r="P152" s="440"/>
      <c r="Q152" s="441"/>
      <c r="R152" s="440"/>
      <c r="S152" s="441"/>
      <c r="T152" s="440"/>
      <c r="U152" s="442"/>
      <c r="W152" s="879" t="s">
        <v>752</v>
      </c>
      <c r="X152" s="880"/>
      <c r="Z152" s="855"/>
    </row>
    <row r="153" spans="1:26" ht="15" customHeight="1" x14ac:dyDescent="0.2">
      <c r="A153" s="116"/>
      <c r="B153" s="533" t="s">
        <v>754</v>
      </c>
      <c r="C153" s="534"/>
      <c r="D153" s="534"/>
      <c r="E153" s="534"/>
      <c r="F153" s="534"/>
      <c r="G153" s="535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881"/>
      <c r="X153" s="882"/>
      <c r="Z153" s="855"/>
    </row>
    <row r="154" spans="1:26" ht="15" customHeight="1" thickBot="1" x14ac:dyDescent="0.25">
      <c r="A154" s="116"/>
      <c r="B154" s="459"/>
      <c r="C154" s="460"/>
      <c r="D154" s="460"/>
      <c r="E154" s="460"/>
      <c r="F154" s="460"/>
      <c r="G154" s="461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881"/>
      <c r="X154" s="882"/>
      <c r="Z154" s="855"/>
    </row>
    <row r="155" spans="1:26" ht="15" customHeight="1" x14ac:dyDescent="0.2">
      <c r="A155" s="116"/>
      <c r="B155" s="435" t="s">
        <v>746</v>
      </c>
      <c r="C155" s="436"/>
      <c r="D155" s="436"/>
      <c r="E155" s="436"/>
      <c r="F155" s="436"/>
      <c r="G155" s="437"/>
      <c r="H155" s="110" t="s">
        <v>745</v>
      </c>
      <c r="I155" s="219" t="s">
        <v>674</v>
      </c>
      <c r="J155" s="248"/>
      <c r="K155" s="249"/>
      <c r="L155" s="903" t="s">
        <v>750</v>
      </c>
      <c r="M155" s="904"/>
      <c r="N155" s="440"/>
      <c r="O155" s="441"/>
      <c r="P155" s="440"/>
      <c r="Q155" s="441"/>
      <c r="R155" s="440"/>
      <c r="S155" s="441"/>
      <c r="T155" s="440"/>
      <c r="U155" s="442"/>
      <c r="W155" s="883" t="s">
        <v>757</v>
      </c>
      <c r="X155" s="884"/>
      <c r="Z155" s="855"/>
    </row>
    <row r="156" spans="1:26" ht="15" customHeight="1" x14ac:dyDescent="0.2">
      <c r="A156" s="116"/>
      <c r="B156" s="533" t="s">
        <v>758</v>
      </c>
      <c r="C156" s="534"/>
      <c r="D156" s="534"/>
      <c r="E156" s="534"/>
      <c r="F156" s="534"/>
      <c r="G156" s="535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885"/>
      <c r="X156" s="886"/>
      <c r="Z156" s="855"/>
    </row>
    <row r="157" spans="1:26" ht="15" customHeight="1" thickBot="1" x14ac:dyDescent="0.25">
      <c r="A157" s="116"/>
      <c r="B157" s="459"/>
      <c r="C157" s="460"/>
      <c r="D157" s="460"/>
      <c r="E157" s="460"/>
      <c r="F157" s="460"/>
      <c r="G157" s="461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885"/>
      <c r="X157" s="886"/>
      <c r="Z157" s="855"/>
    </row>
    <row r="158" spans="1:26" ht="15" customHeight="1" x14ac:dyDescent="0.2">
      <c r="A158" s="116"/>
      <c r="B158" s="435" t="s">
        <v>746</v>
      </c>
      <c r="C158" s="436"/>
      <c r="D158" s="436"/>
      <c r="E158" s="436"/>
      <c r="F158" s="436"/>
      <c r="G158" s="437"/>
      <c r="H158" s="110" t="s">
        <v>745</v>
      </c>
      <c r="I158" s="219" t="s">
        <v>674</v>
      </c>
      <c r="J158" s="248"/>
      <c r="K158" s="249"/>
      <c r="L158" s="903" t="s">
        <v>750</v>
      </c>
      <c r="M158" s="904"/>
      <c r="N158" s="440"/>
      <c r="O158" s="441"/>
      <c r="P158" s="440"/>
      <c r="Q158" s="441"/>
      <c r="R158" s="440"/>
      <c r="S158" s="441"/>
      <c r="T158" s="440"/>
      <c r="U158" s="442"/>
      <c r="W158" s="871" t="s">
        <v>759</v>
      </c>
      <c r="X158" s="872"/>
      <c r="Z158" s="855"/>
    </row>
    <row r="159" spans="1:26" ht="15" customHeight="1" x14ac:dyDescent="0.2">
      <c r="A159" s="116"/>
      <c r="B159" s="533" t="s">
        <v>673</v>
      </c>
      <c r="C159" s="534"/>
      <c r="D159" s="534"/>
      <c r="E159" s="534"/>
      <c r="F159" s="534"/>
      <c r="G159" s="535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873"/>
      <c r="X159" s="874"/>
      <c r="Z159" s="855"/>
    </row>
    <row r="160" spans="1:26" ht="15" customHeight="1" thickBot="1" x14ac:dyDescent="0.25">
      <c r="A160" s="116"/>
      <c r="B160" s="459"/>
      <c r="C160" s="460"/>
      <c r="D160" s="460"/>
      <c r="E160" s="460"/>
      <c r="F160" s="460"/>
      <c r="G160" s="461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873"/>
      <c r="X160" s="874"/>
      <c r="Z160" s="855"/>
    </row>
    <row r="161" spans="1:26" ht="15" customHeight="1" x14ac:dyDescent="0.2">
      <c r="A161" s="116"/>
      <c r="B161" s="435" t="s">
        <v>746</v>
      </c>
      <c r="C161" s="436"/>
      <c r="D161" s="436"/>
      <c r="E161" s="436"/>
      <c r="F161" s="436"/>
      <c r="G161" s="437"/>
      <c r="H161" s="110" t="s">
        <v>745</v>
      </c>
      <c r="I161" s="219" t="s">
        <v>674</v>
      </c>
      <c r="J161" s="248"/>
      <c r="K161" s="249"/>
      <c r="L161" s="903" t="s">
        <v>750</v>
      </c>
      <c r="M161" s="904"/>
      <c r="N161" s="440"/>
      <c r="O161" s="441"/>
      <c r="P161" s="440"/>
      <c r="Q161" s="441"/>
      <c r="R161" s="440"/>
      <c r="S161" s="441"/>
      <c r="T161" s="440"/>
      <c r="U161" s="442"/>
      <c r="W161" s="887" t="s">
        <v>1239</v>
      </c>
      <c r="X161" s="888"/>
      <c r="Z161" s="855"/>
    </row>
    <row r="162" spans="1:26" ht="15" customHeight="1" x14ac:dyDescent="0.2">
      <c r="A162" s="116"/>
      <c r="B162" s="533" t="s">
        <v>673</v>
      </c>
      <c r="C162" s="534"/>
      <c r="D162" s="534"/>
      <c r="E162" s="534"/>
      <c r="F162" s="534"/>
      <c r="G162" s="535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89"/>
      <c r="X162" s="890"/>
      <c r="Z162" s="855"/>
    </row>
    <row r="163" spans="1:26" ht="15" customHeight="1" thickBot="1" x14ac:dyDescent="0.25">
      <c r="A163" s="116"/>
      <c r="B163" s="459"/>
      <c r="C163" s="460"/>
      <c r="D163" s="460"/>
      <c r="E163" s="460"/>
      <c r="F163" s="460"/>
      <c r="G163" s="461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89"/>
      <c r="X163" s="890"/>
      <c r="Z163" s="855"/>
    </row>
    <row r="164" spans="1:26" ht="15" customHeight="1" x14ac:dyDescent="0.2">
      <c r="A164" s="116"/>
      <c r="B164" s="435" t="s">
        <v>746</v>
      </c>
      <c r="C164" s="436"/>
      <c r="D164" s="436"/>
      <c r="E164" s="436"/>
      <c r="F164" s="436"/>
      <c r="G164" s="437"/>
      <c r="H164" s="110" t="s">
        <v>745</v>
      </c>
      <c r="I164" s="219" t="s">
        <v>674</v>
      </c>
      <c r="J164" s="248"/>
      <c r="K164" s="249"/>
      <c r="L164" s="903" t="s">
        <v>750</v>
      </c>
      <c r="M164" s="904"/>
      <c r="N164" s="440"/>
      <c r="O164" s="441"/>
      <c r="P164" s="440"/>
      <c r="Q164" s="441"/>
      <c r="R164" s="440"/>
      <c r="S164" s="441"/>
      <c r="T164" s="440"/>
      <c r="U164" s="442"/>
      <c r="W164" s="1112" t="s">
        <v>1240</v>
      </c>
      <c r="X164" s="1113"/>
      <c r="Z164" s="855"/>
    </row>
    <row r="165" spans="1:26" ht="15" customHeight="1" x14ac:dyDescent="0.2">
      <c r="A165" s="116"/>
      <c r="B165" s="533" t="s">
        <v>765</v>
      </c>
      <c r="C165" s="534"/>
      <c r="D165" s="534"/>
      <c r="E165" s="534"/>
      <c r="F165" s="534"/>
      <c r="G165" s="535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1114"/>
      <c r="X165" s="1115"/>
      <c r="Z165" s="855"/>
    </row>
    <row r="166" spans="1:26" ht="15" customHeight="1" thickBot="1" x14ac:dyDescent="0.25">
      <c r="A166" s="116"/>
      <c r="B166" s="459"/>
      <c r="C166" s="460"/>
      <c r="D166" s="460"/>
      <c r="E166" s="460"/>
      <c r="F166" s="460"/>
      <c r="G166" s="461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1114"/>
      <c r="X166" s="1115"/>
      <c r="Z166" s="855"/>
    </row>
    <row r="167" spans="1:26" ht="15" customHeight="1" x14ac:dyDescent="0.2">
      <c r="A167" s="116"/>
      <c r="B167" s="435" t="s">
        <v>746</v>
      </c>
      <c r="C167" s="436"/>
      <c r="D167" s="436"/>
      <c r="E167" s="436"/>
      <c r="F167" s="436"/>
      <c r="G167" s="437"/>
      <c r="H167" s="110" t="s">
        <v>745</v>
      </c>
      <c r="I167" s="219" t="s">
        <v>674</v>
      </c>
      <c r="J167" s="248"/>
      <c r="K167" s="249"/>
      <c r="L167" s="903" t="s">
        <v>750</v>
      </c>
      <c r="M167" s="904"/>
      <c r="N167" s="440"/>
      <c r="O167" s="441"/>
      <c r="P167" s="440"/>
      <c r="Q167" s="441"/>
      <c r="R167" s="440"/>
      <c r="S167" s="441"/>
      <c r="T167" s="440"/>
      <c r="U167" s="442"/>
      <c r="W167" s="891" t="s">
        <v>1241</v>
      </c>
      <c r="X167" s="892"/>
      <c r="Z167" s="855"/>
    </row>
    <row r="168" spans="1:26" ht="15" customHeight="1" x14ac:dyDescent="0.2">
      <c r="A168" s="116"/>
      <c r="B168" s="533" t="s">
        <v>765</v>
      </c>
      <c r="C168" s="534"/>
      <c r="D168" s="534"/>
      <c r="E168" s="534"/>
      <c r="F168" s="534"/>
      <c r="G168" s="535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893"/>
      <c r="X168" s="894"/>
      <c r="Z168" s="855"/>
    </row>
    <row r="169" spans="1:26" ht="15" customHeight="1" thickBot="1" x14ac:dyDescent="0.25">
      <c r="A169" s="116"/>
      <c r="B169" s="459"/>
      <c r="C169" s="460"/>
      <c r="D169" s="460"/>
      <c r="E169" s="460"/>
      <c r="F169" s="460"/>
      <c r="G169" s="461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895"/>
      <c r="X169" s="896"/>
      <c r="Z169" s="855"/>
    </row>
    <row r="170" spans="1:26" ht="15" customHeight="1" x14ac:dyDescent="0.2">
      <c r="A170" s="116"/>
      <c r="B170" s="435" t="s">
        <v>746</v>
      </c>
      <c r="C170" s="436"/>
      <c r="D170" s="436"/>
      <c r="E170" s="436"/>
      <c r="F170" s="436"/>
      <c r="G170" s="437"/>
      <c r="H170" s="110" t="s">
        <v>745</v>
      </c>
      <c r="I170" s="219" t="s">
        <v>674</v>
      </c>
      <c r="J170" s="248"/>
      <c r="K170" s="249"/>
      <c r="L170" s="903" t="s">
        <v>750</v>
      </c>
      <c r="M170" s="904"/>
      <c r="N170" s="440"/>
      <c r="O170" s="441"/>
      <c r="P170" s="440"/>
      <c r="Q170" s="441"/>
      <c r="R170" s="440"/>
      <c r="S170" s="441"/>
      <c r="T170" s="440"/>
      <c r="U170" s="442"/>
      <c r="W170" s="865" t="s">
        <v>1242</v>
      </c>
      <c r="X170" s="866"/>
      <c r="Z170" s="855"/>
    </row>
    <row r="171" spans="1:26" ht="15" customHeight="1" x14ac:dyDescent="0.2">
      <c r="A171" s="116"/>
      <c r="B171" s="533" t="s">
        <v>765</v>
      </c>
      <c r="C171" s="534"/>
      <c r="D171" s="534"/>
      <c r="E171" s="534"/>
      <c r="F171" s="534"/>
      <c r="G171" s="535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67"/>
      <c r="X171" s="868"/>
      <c r="Z171" s="855"/>
    </row>
    <row r="172" spans="1:26" ht="15" customHeight="1" thickBot="1" x14ac:dyDescent="0.25">
      <c r="A172" s="116"/>
      <c r="B172" s="459"/>
      <c r="C172" s="460"/>
      <c r="D172" s="460"/>
      <c r="E172" s="460"/>
      <c r="F172" s="460"/>
      <c r="G172" s="461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69"/>
      <c r="X172" s="870"/>
      <c r="Z172" s="855"/>
    </row>
    <row r="173" spans="1:26" ht="15" customHeight="1" x14ac:dyDescent="0.2">
      <c r="A173" s="840" t="s">
        <v>768</v>
      </c>
      <c r="B173" s="435" t="s">
        <v>746</v>
      </c>
      <c r="C173" s="436"/>
      <c r="D173" s="436"/>
      <c r="E173" s="436"/>
      <c r="F173" s="436"/>
      <c r="G173" s="437"/>
      <c r="H173" s="110" t="s">
        <v>745</v>
      </c>
      <c r="I173" s="219" t="s">
        <v>674</v>
      </c>
      <c r="J173" s="248"/>
      <c r="K173" s="249"/>
      <c r="L173" s="903" t="s">
        <v>750</v>
      </c>
      <c r="M173" s="904"/>
      <c r="N173" s="440"/>
      <c r="O173" s="441"/>
      <c r="P173" s="440"/>
      <c r="Q173" s="441"/>
      <c r="R173" s="440"/>
      <c r="S173" s="441"/>
      <c r="T173" s="440"/>
      <c r="U173" s="442"/>
      <c r="W173" s="887" t="s">
        <v>1243</v>
      </c>
      <c r="X173" s="888"/>
      <c r="Z173" s="855"/>
    </row>
    <row r="174" spans="1:26" ht="15" customHeight="1" x14ac:dyDescent="0.2">
      <c r="A174" s="841"/>
      <c r="B174" s="533" t="s">
        <v>766</v>
      </c>
      <c r="C174" s="534"/>
      <c r="D174" s="534"/>
      <c r="E174" s="534"/>
      <c r="F174" s="534"/>
      <c r="G174" s="535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89"/>
      <c r="X174" s="890"/>
      <c r="Z174" s="855"/>
    </row>
    <row r="175" spans="1:26" ht="15" customHeight="1" thickBot="1" x14ac:dyDescent="0.25">
      <c r="A175" s="841"/>
      <c r="B175" s="459"/>
      <c r="C175" s="460"/>
      <c r="D175" s="460"/>
      <c r="E175" s="460"/>
      <c r="F175" s="460"/>
      <c r="G175" s="461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89"/>
      <c r="X175" s="890"/>
      <c r="Z175" s="855"/>
    </row>
    <row r="176" spans="1:26" ht="15" customHeight="1" x14ac:dyDescent="0.2">
      <c r="A176" s="841"/>
      <c r="B176" s="435" t="s">
        <v>746</v>
      </c>
      <c r="C176" s="436"/>
      <c r="D176" s="436"/>
      <c r="E176" s="436"/>
      <c r="F176" s="436"/>
      <c r="G176" s="437"/>
      <c r="H176" s="110" t="s">
        <v>745</v>
      </c>
      <c r="I176" s="219" t="s">
        <v>674</v>
      </c>
      <c r="J176" s="248"/>
      <c r="K176" s="249"/>
      <c r="L176" s="903" t="s">
        <v>750</v>
      </c>
      <c r="M176" s="904"/>
      <c r="N176" s="440"/>
      <c r="O176" s="441"/>
      <c r="P176" s="440"/>
      <c r="Q176" s="441"/>
      <c r="R176" s="440"/>
      <c r="S176" s="441"/>
      <c r="T176" s="440"/>
      <c r="U176" s="442"/>
      <c r="W176" s="889"/>
      <c r="X176" s="890"/>
      <c r="Z176" s="855"/>
    </row>
    <row r="177" spans="1:26" ht="15" customHeight="1" x14ac:dyDescent="0.2">
      <c r="A177" s="841"/>
      <c r="B177" s="533" t="s">
        <v>673</v>
      </c>
      <c r="C177" s="534"/>
      <c r="D177" s="534"/>
      <c r="E177" s="534"/>
      <c r="F177" s="534"/>
      <c r="G177" s="535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89"/>
      <c r="X177" s="890"/>
      <c r="Z177" s="855"/>
    </row>
    <row r="178" spans="1:26" ht="15" customHeight="1" thickBot="1" x14ac:dyDescent="0.25">
      <c r="A178" s="842"/>
      <c r="B178" s="459"/>
      <c r="C178" s="460"/>
      <c r="D178" s="460"/>
      <c r="E178" s="460"/>
      <c r="F178" s="460"/>
      <c r="G178" s="461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1116"/>
      <c r="X178" s="1117"/>
      <c r="Z178" s="855"/>
    </row>
    <row r="179" spans="1:26" ht="15" customHeight="1" x14ac:dyDescent="0.2">
      <c r="A179" s="840" t="s">
        <v>768</v>
      </c>
      <c r="B179" s="435" t="s">
        <v>746</v>
      </c>
      <c r="C179" s="436"/>
      <c r="D179" s="436"/>
      <c r="E179" s="436"/>
      <c r="F179" s="436"/>
      <c r="G179" s="437"/>
      <c r="H179" s="110" t="s">
        <v>745</v>
      </c>
      <c r="I179" s="219" t="s">
        <v>674</v>
      </c>
      <c r="J179" s="248"/>
      <c r="K179" s="249"/>
      <c r="L179" s="903" t="s">
        <v>750</v>
      </c>
      <c r="M179" s="904"/>
      <c r="N179" s="440"/>
      <c r="O179" s="441"/>
      <c r="P179" s="440"/>
      <c r="Q179" s="441"/>
      <c r="R179" s="440"/>
      <c r="S179" s="441"/>
      <c r="T179" s="440"/>
      <c r="U179" s="442"/>
      <c r="W179" s="865" t="s">
        <v>1244</v>
      </c>
      <c r="X179" s="866"/>
      <c r="Z179" s="855"/>
    </row>
    <row r="180" spans="1:26" ht="15" customHeight="1" x14ac:dyDescent="0.2">
      <c r="A180" s="841"/>
      <c r="B180" s="533" t="s">
        <v>766</v>
      </c>
      <c r="C180" s="534"/>
      <c r="D180" s="534"/>
      <c r="E180" s="534"/>
      <c r="F180" s="534"/>
      <c r="G180" s="535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67"/>
      <c r="X180" s="868"/>
      <c r="Z180" s="855"/>
    </row>
    <row r="181" spans="1:26" ht="15" customHeight="1" thickBot="1" x14ac:dyDescent="0.25">
      <c r="A181" s="841"/>
      <c r="B181" s="459"/>
      <c r="C181" s="460"/>
      <c r="D181" s="460"/>
      <c r="E181" s="460"/>
      <c r="F181" s="460"/>
      <c r="G181" s="461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67"/>
      <c r="X181" s="868"/>
      <c r="Z181" s="855"/>
    </row>
    <row r="182" spans="1:26" ht="15" customHeight="1" x14ac:dyDescent="0.2">
      <c r="A182" s="841"/>
      <c r="B182" s="435" t="s">
        <v>746</v>
      </c>
      <c r="C182" s="436"/>
      <c r="D182" s="436"/>
      <c r="E182" s="436"/>
      <c r="F182" s="436"/>
      <c r="G182" s="437"/>
      <c r="H182" s="110" t="s">
        <v>745</v>
      </c>
      <c r="I182" s="219" t="s">
        <v>674</v>
      </c>
      <c r="J182" s="248"/>
      <c r="K182" s="249"/>
      <c r="L182" s="903" t="s">
        <v>750</v>
      </c>
      <c r="M182" s="904"/>
      <c r="N182" s="440"/>
      <c r="O182" s="441"/>
      <c r="P182" s="440"/>
      <c r="Q182" s="441"/>
      <c r="R182" s="440"/>
      <c r="S182" s="441"/>
      <c r="T182" s="440"/>
      <c r="U182" s="442"/>
      <c r="W182" s="867"/>
      <c r="X182" s="868"/>
      <c r="Z182" s="855"/>
    </row>
    <row r="183" spans="1:26" ht="15" customHeight="1" x14ac:dyDescent="0.2">
      <c r="A183" s="841"/>
      <c r="B183" s="533" t="s">
        <v>673</v>
      </c>
      <c r="C183" s="534"/>
      <c r="D183" s="534"/>
      <c r="E183" s="534"/>
      <c r="F183" s="534"/>
      <c r="G183" s="535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67"/>
      <c r="X183" s="868"/>
      <c r="Z183" s="855"/>
    </row>
    <row r="184" spans="1:26" ht="15" customHeight="1" thickBot="1" x14ac:dyDescent="0.25">
      <c r="A184" s="842"/>
      <c r="B184" s="459"/>
      <c r="C184" s="460"/>
      <c r="D184" s="460"/>
      <c r="E184" s="460"/>
      <c r="F184" s="460"/>
      <c r="G184" s="461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69"/>
      <c r="X184" s="870"/>
      <c r="Z184" s="855"/>
    </row>
    <row r="185" spans="1:26" ht="15" customHeight="1" x14ac:dyDescent="0.2">
      <c r="A185" s="840" t="s">
        <v>768</v>
      </c>
      <c r="B185" s="435" t="s">
        <v>746</v>
      </c>
      <c r="C185" s="436"/>
      <c r="D185" s="436"/>
      <c r="E185" s="436"/>
      <c r="F185" s="436"/>
      <c r="G185" s="437"/>
      <c r="H185" s="110" t="s">
        <v>745</v>
      </c>
      <c r="I185" s="219" t="s">
        <v>674</v>
      </c>
      <c r="J185" s="248"/>
      <c r="K185" s="249"/>
      <c r="L185" s="903" t="s">
        <v>750</v>
      </c>
      <c r="M185" s="904"/>
      <c r="N185" s="440"/>
      <c r="O185" s="441"/>
      <c r="P185" s="440"/>
      <c r="Q185" s="441"/>
      <c r="R185" s="440"/>
      <c r="S185" s="441"/>
      <c r="T185" s="440"/>
      <c r="U185" s="442"/>
      <c r="W185" s="871" t="s">
        <v>770</v>
      </c>
      <c r="X185" s="872"/>
      <c r="Z185" s="855"/>
    </row>
    <row r="186" spans="1:26" ht="15" customHeight="1" x14ac:dyDescent="0.2">
      <c r="A186" s="841"/>
      <c r="B186" s="533" t="s">
        <v>771</v>
      </c>
      <c r="C186" s="534"/>
      <c r="D186" s="534"/>
      <c r="E186" s="534"/>
      <c r="F186" s="534"/>
      <c r="G186" s="535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873"/>
      <c r="X186" s="874"/>
      <c r="Z186" s="855"/>
    </row>
    <row r="187" spans="1:26" ht="15" customHeight="1" thickBot="1" x14ac:dyDescent="0.25">
      <c r="A187" s="841"/>
      <c r="B187" s="459"/>
      <c r="C187" s="460"/>
      <c r="D187" s="460"/>
      <c r="E187" s="460"/>
      <c r="F187" s="460"/>
      <c r="G187" s="461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873"/>
      <c r="X187" s="874"/>
      <c r="Z187" s="855"/>
    </row>
    <row r="188" spans="1:26" ht="15" customHeight="1" x14ac:dyDescent="0.2">
      <c r="A188" s="841"/>
      <c r="B188" s="435" t="s">
        <v>773</v>
      </c>
      <c r="C188" s="436"/>
      <c r="D188" s="436"/>
      <c r="E188" s="436"/>
      <c r="F188" s="436"/>
      <c r="G188" s="437"/>
      <c r="H188" s="110" t="s">
        <v>745</v>
      </c>
      <c r="I188" s="219" t="s">
        <v>774</v>
      </c>
      <c r="J188" s="248"/>
      <c r="K188" s="249"/>
      <c r="L188" s="877" t="s">
        <v>775</v>
      </c>
      <c r="M188" s="878"/>
      <c r="N188" s="440"/>
      <c r="O188" s="441"/>
      <c r="P188" s="440"/>
      <c r="Q188" s="441"/>
      <c r="R188" s="440"/>
      <c r="S188" s="441"/>
      <c r="T188" s="440"/>
      <c r="U188" s="442"/>
      <c r="W188" s="873"/>
      <c r="X188" s="874"/>
      <c r="Z188" s="855"/>
    </row>
    <row r="189" spans="1:26" ht="15" customHeight="1" x14ac:dyDescent="0.2">
      <c r="A189" s="841"/>
      <c r="B189" s="533" t="s">
        <v>772</v>
      </c>
      <c r="C189" s="534"/>
      <c r="D189" s="534"/>
      <c r="E189" s="534"/>
      <c r="F189" s="534"/>
      <c r="G189" s="535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873"/>
      <c r="X189" s="874"/>
      <c r="Z189" s="855"/>
    </row>
    <row r="190" spans="1:26" ht="15" customHeight="1" thickBot="1" x14ac:dyDescent="0.25">
      <c r="A190" s="842"/>
      <c r="B190" s="459"/>
      <c r="C190" s="460"/>
      <c r="D190" s="460"/>
      <c r="E190" s="460"/>
      <c r="F190" s="460"/>
      <c r="G190" s="461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875"/>
      <c r="X190" s="876"/>
      <c r="Z190" s="855"/>
    </row>
    <row r="191" spans="1:26" ht="15" customHeight="1" x14ac:dyDescent="0.2">
      <c r="A191" s="116"/>
      <c r="B191" s="435" t="s">
        <v>773</v>
      </c>
      <c r="C191" s="436"/>
      <c r="D191" s="436"/>
      <c r="E191" s="436"/>
      <c r="F191" s="436"/>
      <c r="G191" s="437"/>
      <c r="H191" s="110" t="s">
        <v>745</v>
      </c>
      <c r="I191" s="219" t="s">
        <v>774</v>
      </c>
      <c r="J191" s="248"/>
      <c r="K191" s="249"/>
      <c r="L191" s="877" t="s">
        <v>775</v>
      </c>
      <c r="M191" s="878"/>
      <c r="N191" s="440"/>
      <c r="O191" s="441"/>
      <c r="P191" s="440"/>
      <c r="Q191" s="441"/>
      <c r="R191" s="440"/>
      <c r="S191" s="441"/>
      <c r="T191" s="440"/>
      <c r="U191" s="442"/>
      <c r="W191" s="843" t="s">
        <v>769</v>
      </c>
      <c r="X191" s="844"/>
      <c r="Z191" s="855"/>
    </row>
    <row r="192" spans="1:26" ht="15" customHeight="1" x14ac:dyDescent="0.2">
      <c r="A192" s="116"/>
      <c r="B192" s="533" t="s">
        <v>777</v>
      </c>
      <c r="C192" s="534"/>
      <c r="D192" s="534"/>
      <c r="E192" s="534"/>
      <c r="F192" s="534"/>
      <c r="G192" s="535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845"/>
      <c r="X192" s="846"/>
      <c r="Z192" s="855"/>
    </row>
    <row r="193" spans="1:26" ht="15" customHeight="1" thickBot="1" x14ac:dyDescent="0.25">
      <c r="A193" s="116"/>
      <c r="B193" s="583"/>
      <c r="C193" s="584"/>
      <c r="D193" s="584"/>
      <c r="E193" s="584"/>
      <c r="F193" s="584"/>
      <c r="G193" s="585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847"/>
      <c r="X193" s="848"/>
      <c r="Z193" s="855"/>
    </row>
    <row r="194" spans="1:26" ht="15" customHeight="1" x14ac:dyDescent="0.2">
      <c r="A194" s="116"/>
      <c r="B194" s="1109" t="s">
        <v>748</v>
      </c>
      <c r="C194" s="1110"/>
      <c r="D194" s="1110"/>
      <c r="E194" s="1110"/>
      <c r="F194" s="1110"/>
      <c r="G194" s="1111"/>
      <c r="H194" s="225" t="s">
        <v>712</v>
      </c>
      <c r="I194" s="223" t="s">
        <v>42</v>
      </c>
      <c r="J194" s="250"/>
      <c r="K194" s="249"/>
      <c r="L194" s="903" t="s">
        <v>750</v>
      </c>
      <c r="M194" s="904"/>
      <c r="N194" s="440"/>
      <c r="O194" s="441"/>
      <c r="P194" s="440"/>
      <c r="Q194" s="441"/>
      <c r="R194" s="440"/>
      <c r="S194" s="441"/>
      <c r="T194" s="440"/>
      <c r="U194" s="442"/>
      <c r="W194" s="897" t="s">
        <v>747</v>
      </c>
      <c r="X194" s="898"/>
      <c r="Z194" s="855"/>
    </row>
    <row r="195" spans="1:26" ht="15" customHeight="1" x14ac:dyDescent="0.2">
      <c r="A195" s="116"/>
      <c r="B195" s="533" t="s">
        <v>139</v>
      </c>
      <c r="C195" s="534"/>
      <c r="D195" s="534"/>
      <c r="E195" s="534"/>
      <c r="F195" s="534"/>
      <c r="G195" s="535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899"/>
      <c r="X195" s="900"/>
      <c r="Z195" s="855"/>
    </row>
    <row r="196" spans="1:26" ht="15" customHeight="1" thickBot="1" x14ac:dyDescent="0.25">
      <c r="A196" s="116"/>
      <c r="B196" s="459" t="s">
        <v>138</v>
      </c>
      <c r="C196" s="460"/>
      <c r="D196" s="460"/>
      <c r="E196" s="460"/>
      <c r="F196" s="460"/>
      <c r="G196" s="461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901"/>
      <c r="X196" s="902"/>
      <c r="Z196" s="855"/>
    </row>
    <row r="197" spans="1:26" ht="15" customHeight="1" x14ac:dyDescent="0.2">
      <c r="A197" s="116"/>
      <c r="B197" s="562" t="s">
        <v>676</v>
      </c>
      <c r="C197" s="563"/>
      <c r="D197" s="563"/>
      <c r="E197" s="563"/>
      <c r="F197" s="563"/>
      <c r="G197" s="564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856" t="s">
        <v>756</v>
      </c>
      <c r="X197" s="857"/>
      <c r="Y197" s="857"/>
      <c r="Z197" s="858"/>
    </row>
    <row r="198" spans="1:26" ht="15" customHeight="1" x14ac:dyDescent="0.2">
      <c r="A198" s="116"/>
      <c r="B198" s="565" t="s">
        <v>131</v>
      </c>
      <c r="C198" s="566"/>
      <c r="D198" s="566"/>
      <c r="E198" s="566"/>
      <c r="F198" s="566"/>
      <c r="G198" s="567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859"/>
      <c r="X198" s="860"/>
      <c r="Y198" s="860"/>
      <c r="Z198" s="861"/>
    </row>
    <row r="199" spans="1:26" ht="15" customHeight="1" x14ac:dyDescent="0.2">
      <c r="A199" s="116"/>
      <c r="B199" s="565" t="s">
        <v>132</v>
      </c>
      <c r="C199" s="566"/>
      <c r="D199" s="566"/>
      <c r="E199" s="566"/>
      <c r="F199" s="566"/>
      <c r="G199" s="567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859"/>
      <c r="X199" s="860"/>
      <c r="Y199" s="860"/>
      <c r="Z199" s="861"/>
    </row>
    <row r="200" spans="1:26" ht="15" customHeight="1" x14ac:dyDescent="0.2">
      <c r="A200" s="116"/>
      <c r="B200" s="624" t="s">
        <v>133</v>
      </c>
      <c r="C200" s="625"/>
      <c r="D200" s="625"/>
      <c r="E200" s="625"/>
      <c r="F200" s="625"/>
      <c r="G200" s="626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859"/>
      <c r="X200" s="860"/>
      <c r="Y200" s="860"/>
      <c r="Z200" s="861"/>
    </row>
    <row r="201" spans="1:26" ht="15" customHeight="1" thickBot="1" x14ac:dyDescent="0.25">
      <c r="A201" s="116"/>
      <c r="B201" s="1101" t="s">
        <v>134</v>
      </c>
      <c r="C201" s="1102"/>
      <c r="D201" s="1102"/>
      <c r="E201" s="1102"/>
      <c r="F201" s="1102"/>
      <c r="G201" s="1103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862"/>
      <c r="X201" s="863"/>
      <c r="Y201" s="863"/>
      <c r="Z201" s="864"/>
    </row>
    <row r="202" spans="1:26" x14ac:dyDescent="0.2">
      <c r="B202" s="462" t="s">
        <v>700</v>
      </c>
      <c r="C202" s="463"/>
      <c r="D202" s="463"/>
      <c r="E202" s="463"/>
      <c r="F202" s="463"/>
      <c r="G202" s="464"/>
      <c r="H202" s="139"/>
      <c r="I202" s="140" t="s">
        <v>701</v>
      </c>
      <c r="J202" s="246" t="s">
        <v>21</v>
      </c>
      <c r="K202" s="260"/>
      <c r="L202" s="674"/>
      <c r="M202" s="675"/>
      <c r="N202" s="675"/>
      <c r="O202" s="675"/>
      <c r="P202" s="675"/>
      <c r="Q202" s="675"/>
      <c r="R202" s="675"/>
      <c r="S202" s="675"/>
      <c r="T202" s="675"/>
      <c r="U202" s="676"/>
    </row>
    <row r="203" spans="1:26" x14ac:dyDescent="0.2">
      <c r="B203" s="1104" t="s">
        <v>702</v>
      </c>
      <c r="C203" s="1105"/>
      <c r="D203" s="1105"/>
      <c r="E203" s="1105"/>
      <c r="F203" s="1105"/>
      <c r="G203" s="1105"/>
      <c r="H203" s="197"/>
      <c r="I203" s="224" t="s">
        <v>703</v>
      </c>
      <c r="J203" s="261" t="s">
        <v>21</v>
      </c>
      <c r="K203" s="262"/>
      <c r="L203" s="1106"/>
      <c r="M203" s="1107"/>
      <c r="N203" s="1107"/>
      <c r="O203" s="1107"/>
      <c r="P203" s="1107"/>
      <c r="Q203" s="1107"/>
      <c r="R203" s="1107"/>
      <c r="S203" s="1107"/>
      <c r="T203" s="1107"/>
      <c r="U203" s="1108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172" t="s">
        <v>160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1217</v>
      </c>
      <c r="X42" s="1130"/>
    </row>
    <row r="43" spans="1:24" s="3" customFormat="1" ht="15" customHeight="1" thickBot="1" x14ac:dyDescent="0.25">
      <c r="A43" s="619"/>
      <c r="B43" s="1133" t="s">
        <v>717</v>
      </c>
      <c r="C43" s="1134"/>
      <c r="D43" s="1134"/>
      <c r="E43" s="1134"/>
      <c r="F43" s="1134"/>
      <c r="G43" s="1135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1221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1216</v>
      </c>
      <c r="X46" s="1036"/>
    </row>
    <row r="47" spans="1:24" s="3" customFormat="1" ht="15" customHeight="1" thickBot="1" x14ac:dyDescent="0.25">
      <c r="A47" s="619"/>
      <c r="B47" s="482" t="s">
        <v>1220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4" s="3" customFormat="1" ht="15" customHeight="1" thickBot="1" x14ac:dyDescent="0.25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4" s="3" customFormat="1" ht="15" customHeight="1" thickTop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80" t="s">
        <v>1221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122" t="s">
        <v>1218</v>
      </c>
      <c r="X50" s="1123"/>
    </row>
    <row r="51" spans="1:24" s="3" customFormat="1" ht="15" customHeight="1" thickBot="1" x14ac:dyDescent="0.25">
      <c r="A51" s="619"/>
      <c r="B51" s="482" t="s">
        <v>1220</v>
      </c>
      <c r="C51" s="483"/>
      <c r="D51" s="483"/>
      <c r="E51" s="483"/>
      <c r="F51" s="483"/>
      <c r="G51" s="484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24"/>
      <c r="X51" s="1125"/>
    </row>
    <row r="52" spans="1:24" s="3" customFormat="1" ht="15" customHeight="1" x14ac:dyDescent="0.2">
      <c r="A52" s="619"/>
      <c r="B52" s="707"/>
      <c r="C52" s="708"/>
      <c r="D52" s="708"/>
      <c r="E52" s="708"/>
      <c r="F52" s="708"/>
      <c r="G52" s="709"/>
      <c r="H52" s="668" t="s">
        <v>36</v>
      </c>
      <c r="I52" s="669"/>
      <c r="J52" s="669"/>
      <c r="K52" s="670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24"/>
      <c r="X52" s="1125"/>
    </row>
    <row r="53" spans="1:24" s="3" customFormat="1" ht="15" customHeight="1" x14ac:dyDescent="0.2">
      <c r="A53" s="619"/>
      <c r="B53" s="695"/>
      <c r="C53" s="696"/>
      <c r="D53" s="696"/>
      <c r="E53" s="696"/>
      <c r="F53" s="696"/>
      <c r="G53" s="697"/>
      <c r="H53" s="692" t="s">
        <v>40</v>
      </c>
      <c r="I53" s="693"/>
      <c r="J53" s="693"/>
      <c r="K53" s="69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24"/>
      <c r="X53" s="1125"/>
    </row>
    <row r="54" spans="1:24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63" t="s">
        <v>788</v>
      </c>
      <c r="I54" s="80" t="s">
        <v>1224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1219</v>
      </c>
      <c r="X54" s="1040"/>
    </row>
    <row r="55" spans="1:24" s="3" customFormat="1" ht="15" customHeight="1" thickBot="1" x14ac:dyDescent="0.25">
      <c r="A55" s="619"/>
      <c r="B55" s="482" t="s">
        <v>1223</v>
      </c>
      <c r="C55" s="483"/>
      <c r="D55" s="483"/>
      <c r="E55" s="483"/>
      <c r="F55" s="483"/>
      <c r="G55" s="484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</row>
    <row r="56" spans="1:24" s="3" customFormat="1" ht="15" customHeight="1" x14ac:dyDescent="0.2">
      <c r="A56" s="619"/>
      <c r="B56" s="707"/>
      <c r="C56" s="708"/>
      <c r="D56" s="708"/>
      <c r="E56" s="708"/>
      <c r="F56" s="708"/>
      <c r="G56" s="709"/>
      <c r="H56" s="669" t="s">
        <v>36</v>
      </c>
      <c r="I56" s="669"/>
      <c r="J56" s="669"/>
      <c r="K56" s="670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1039"/>
      <c r="X56" s="1040"/>
    </row>
    <row r="57" spans="1:24" s="3" customFormat="1" ht="15" customHeight="1" thickBot="1" x14ac:dyDescent="0.25">
      <c r="A57" s="619"/>
      <c r="B57" s="695"/>
      <c r="C57" s="696"/>
      <c r="D57" s="696"/>
      <c r="E57" s="696"/>
      <c r="F57" s="696"/>
      <c r="G57" s="697"/>
      <c r="H57" s="693" t="s">
        <v>40</v>
      </c>
      <c r="I57" s="693"/>
      <c r="J57" s="693"/>
      <c r="K57" s="69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1039"/>
      <c r="X57" s="1040"/>
    </row>
    <row r="58" spans="1:24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80" t="s">
        <v>1224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118" t="s">
        <v>1222</v>
      </c>
      <c r="X58" s="1119"/>
    </row>
    <row r="59" spans="1:24" s="3" customFormat="1" ht="15" customHeight="1" thickBot="1" x14ac:dyDescent="0.25">
      <c r="A59" s="619"/>
      <c r="B59" s="482" t="s">
        <v>1223</v>
      </c>
      <c r="C59" s="483"/>
      <c r="D59" s="483"/>
      <c r="E59" s="483"/>
      <c r="F59" s="483"/>
      <c r="G59" s="484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20"/>
      <c r="X59" s="1121"/>
    </row>
    <row r="60" spans="1:24" s="3" customFormat="1" ht="15" customHeight="1" x14ac:dyDescent="0.2">
      <c r="A60" s="619"/>
      <c r="B60" s="707"/>
      <c r="C60" s="708"/>
      <c r="D60" s="708"/>
      <c r="E60" s="708"/>
      <c r="F60" s="708"/>
      <c r="G60" s="709"/>
      <c r="H60" s="668" t="s">
        <v>36</v>
      </c>
      <c r="I60" s="669"/>
      <c r="J60" s="669"/>
      <c r="K60" s="670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20"/>
      <c r="X60" s="1121"/>
    </row>
    <row r="61" spans="1:24" s="3" customFormat="1" ht="15" customHeight="1" x14ac:dyDescent="0.2">
      <c r="A61" s="619"/>
      <c r="B61" s="695"/>
      <c r="C61" s="696"/>
      <c r="D61" s="696"/>
      <c r="E61" s="696"/>
      <c r="F61" s="696"/>
      <c r="G61" s="697"/>
      <c r="H61" s="692" t="s">
        <v>40</v>
      </c>
      <c r="I61" s="693"/>
      <c r="J61" s="693"/>
      <c r="K61" s="69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20"/>
      <c r="X61" s="1121"/>
    </row>
    <row r="62" spans="1:24" s="3" customFormat="1" ht="15" customHeight="1" x14ac:dyDescent="0.2">
      <c r="A62" s="619"/>
      <c r="B62" s="476" t="s">
        <v>37</v>
      </c>
      <c r="C62" s="477"/>
      <c r="D62" s="477"/>
      <c r="E62" s="477"/>
      <c r="F62" s="477"/>
      <c r="G62" s="478"/>
      <c r="H62" s="79" t="s">
        <v>788</v>
      </c>
      <c r="I62" s="172" t="s">
        <v>1227</v>
      </c>
      <c r="J62" s="263"/>
      <c r="K62" s="264"/>
      <c r="L62" s="660" t="s">
        <v>751</v>
      </c>
      <c r="M62" s="473"/>
      <c r="N62" s="689" t="s">
        <v>751</v>
      </c>
      <c r="O62" s="492"/>
      <c r="P62" s="689" t="s">
        <v>751</v>
      </c>
      <c r="Q62" s="492"/>
      <c r="R62" s="689" t="s">
        <v>751</v>
      </c>
      <c r="S62" s="492"/>
      <c r="T62" s="689" t="s">
        <v>751</v>
      </c>
      <c r="U62" s="690"/>
      <c r="W62" s="1136" t="s">
        <v>1225</v>
      </c>
      <c r="X62" s="1137"/>
    </row>
    <row r="63" spans="1:24" s="3" customFormat="1" ht="15" customHeight="1" x14ac:dyDescent="0.2">
      <c r="A63" s="619"/>
      <c r="B63" s="1133" t="s">
        <v>1226</v>
      </c>
      <c r="C63" s="1134"/>
      <c r="D63" s="1134"/>
      <c r="E63" s="1134"/>
      <c r="F63" s="1134"/>
      <c r="G63" s="1135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6"/>
      <c r="X63" s="1137"/>
    </row>
    <row r="64" spans="1:24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161</v>
      </c>
      <c r="I64" s="485"/>
      <c r="J64" s="485"/>
      <c r="K64" s="486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6"/>
      <c r="X64" s="1137"/>
    </row>
    <row r="65" spans="1:28" s="3" customFormat="1" ht="15" customHeight="1" x14ac:dyDescent="0.2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6"/>
      <c r="X65" s="1137"/>
    </row>
    <row r="66" spans="1:28" s="3" customFormat="1" ht="15" customHeight="1" x14ac:dyDescent="0.2">
      <c r="A66" s="619"/>
      <c r="B66" s="476" t="s">
        <v>37</v>
      </c>
      <c r="C66" s="477"/>
      <c r="D66" s="477"/>
      <c r="E66" s="477"/>
      <c r="F66" s="477"/>
      <c r="G66" s="478"/>
      <c r="H66" s="79" t="s">
        <v>788</v>
      </c>
      <c r="I66" s="94" t="s">
        <v>10</v>
      </c>
      <c r="J66" s="263"/>
      <c r="K66" s="264"/>
      <c r="L66" s="660" t="s">
        <v>751</v>
      </c>
      <c r="M66" s="473"/>
      <c r="N66" s="689" t="s">
        <v>751</v>
      </c>
      <c r="O66" s="492"/>
      <c r="P66" s="689" t="s">
        <v>751</v>
      </c>
      <c r="Q66" s="492"/>
      <c r="R66" s="689" t="s">
        <v>751</v>
      </c>
      <c r="S66" s="492"/>
      <c r="T66" s="689" t="s">
        <v>751</v>
      </c>
      <c r="U66" s="690"/>
      <c r="W66" s="1039" t="s">
        <v>85</v>
      </c>
      <c r="X66" s="1040"/>
      <c r="AB66" s="9"/>
    </row>
    <row r="67" spans="1:28" s="3" customFormat="1" ht="15" customHeight="1" x14ac:dyDescent="0.2">
      <c r="A67" s="619"/>
      <c r="B67" s="474" t="s">
        <v>41</v>
      </c>
      <c r="C67" s="428"/>
      <c r="D67" s="428"/>
      <c r="E67" s="428"/>
      <c r="F67" s="428"/>
      <c r="G67" s="475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39"/>
      <c r="X67" s="1040"/>
      <c r="AB67" s="9"/>
    </row>
    <row r="68" spans="1:28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70</v>
      </c>
      <c r="I68" s="485"/>
      <c r="J68" s="485"/>
      <c r="K68" s="486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1039"/>
      <c r="X68" s="1040"/>
    </row>
    <row r="69" spans="1:28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1039"/>
      <c r="X69" s="1040"/>
    </row>
    <row r="70" spans="1:28" s="3" customFormat="1" ht="15" customHeight="1" thickTop="1" x14ac:dyDescent="0.2">
      <c r="A70" s="619"/>
      <c r="B70" s="476" t="s">
        <v>37</v>
      </c>
      <c r="C70" s="477"/>
      <c r="D70" s="477"/>
      <c r="E70" s="477"/>
      <c r="F70" s="477"/>
      <c r="G70" s="478"/>
      <c r="H70" s="79" t="s">
        <v>788</v>
      </c>
      <c r="I70" s="94" t="s">
        <v>10</v>
      </c>
      <c r="J70" s="263"/>
      <c r="K70" s="264"/>
      <c r="L70" s="660" t="s">
        <v>751</v>
      </c>
      <c r="M70" s="473"/>
      <c r="N70" s="689" t="s">
        <v>751</v>
      </c>
      <c r="O70" s="492"/>
      <c r="P70" s="689" t="s">
        <v>751</v>
      </c>
      <c r="Q70" s="492"/>
      <c r="R70" s="689" t="s">
        <v>751</v>
      </c>
      <c r="S70" s="492"/>
      <c r="T70" s="689" t="s">
        <v>751</v>
      </c>
      <c r="U70" s="690"/>
      <c r="W70" s="1041" t="s">
        <v>86</v>
      </c>
      <c r="X70" s="1042"/>
    </row>
    <row r="71" spans="1:28" s="3" customFormat="1" ht="15" customHeight="1" x14ac:dyDescent="0.2">
      <c r="A71" s="619"/>
      <c r="B71" s="474" t="s">
        <v>41</v>
      </c>
      <c r="C71" s="428"/>
      <c r="D71" s="428"/>
      <c r="E71" s="428"/>
      <c r="F71" s="428"/>
      <c r="G71" s="475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43"/>
      <c r="X71" s="1044"/>
    </row>
    <row r="72" spans="1:28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786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1043"/>
      <c r="X72" s="1044"/>
    </row>
    <row r="73" spans="1:28" s="3" customFormat="1" ht="15" customHeight="1" thickBot="1" x14ac:dyDescent="0.25">
      <c r="A73" s="619"/>
      <c r="B73" s="496"/>
      <c r="C73" s="497"/>
      <c r="D73" s="497"/>
      <c r="E73" s="497"/>
      <c r="F73" s="497"/>
      <c r="G73" s="498"/>
      <c r="H73" s="487" t="s">
        <v>40</v>
      </c>
      <c r="I73" s="487"/>
      <c r="J73" s="487"/>
      <c r="K73" s="488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1045"/>
      <c r="X73" s="1046"/>
    </row>
    <row r="74" spans="1:28" s="3" customFormat="1" ht="15" customHeight="1" thickTop="1" x14ac:dyDescent="0.2">
      <c r="A74" s="619"/>
      <c r="B74" s="476" t="s">
        <v>45</v>
      </c>
      <c r="C74" s="477"/>
      <c r="D74" s="477"/>
      <c r="E74" s="477"/>
      <c r="F74" s="477"/>
      <c r="G74" s="478"/>
      <c r="H74" s="63" t="s">
        <v>789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33" t="s">
        <v>87</v>
      </c>
      <c r="X74" s="1034"/>
      <c r="Y74" s="10"/>
      <c r="Z74" s="10"/>
      <c r="AA74" s="10"/>
    </row>
    <row r="75" spans="1:28" s="3" customFormat="1" ht="15" customHeight="1" x14ac:dyDescent="0.2">
      <c r="A75" s="619"/>
      <c r="B75" s="1047" t="s">
        <v>41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35"/>
      <c r="X75" s="1036"/>
      <c r="Y75" s="10"/>
      <c r="Z75" s="10"/>
      <c r="AA75" s="10"/>
    </row>
    <row r="76" spans="1:28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70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35"/>
      <c r="X76" s="1036"/>
      <c r="Y76" s="10"/>
      <c r="AA76" s="10"/>
    </row>
    <row r="77" spans="1:28" s="3" customFormat="1" ht="15" customHeight="1" thickBot="1" x14ac:dyDescent="0.25">
      <c r="A77" s="619"/>
      <c r="B77" s="496"/>
      <c r="C77" s="497"/>
      <c r="D77" s="497"/>
      <c r="E77" s="497"/>
      <c r="F77" s="497"/>
      <c r="G77" s="498"/>
      <c r="H77" s="487" t="s">
        <v>40</v>
      </c>
      <c r="I77" s="487"/>
      <c r="J77" s="487"/>
      <c r="K77" s="488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1037"/>
      <c r="X77" s="1038"/>
      <c r="Y77" s="10"/>
      <c r="AA77" s="10"/>
    </row>
    <row r="78" spans="1:28" s="3" customFormat="1" ht="15" customHeight="1" thickTop="1" x14ac:dyDescent="0.2">
      <c r="A78" s="619"/>
      <c r="B78" s="476" t="s">
        <v>45</v>
      </c>
      <c r="C78" s="477"/>
      <c r="D78" s="477"/>
      <c r="E78" s="477"/>
      <c r="F78" s="477"/>
      <c r="G78" s="478"/>
      <c r="H78" s="63" t="s">
        <v>789</v>
      </c>
      <c r="I78" s="94" t="s">
        <v>10</v>
      </c>
      <c r="J78" s="263"/>
      <c r="K78" s="264"/>
      <c r="L78" s="491" t="s">
        <v>750</v>
      </c>
      <c r="M78" s="492"/>
      <c r="N78" s="472"/>
      <c r="O78" s="473"/>
      <c r="P78" s="472"/>
      <c r="Q78" s="473"/>
      <c r="R78" s="472"/>
      <c r="S78" s="473"/>
      <c r="T78" s="472"/>
      <c r="U78" s="662"/>
      <c r="W78" s="1050" t="s">
        <v>88</v>
      </c>
      <c r="X78" s="1051"/>
      <c r="Y78" s="10"/>
      <c r="Z78" s="10"/>
      <c r="AA78" s="10"/>
    </row>
    <row r="79" spans="1:28" s="3" customFormat="1" ht="15" customHeight="1" x14ac:dyDescent="0.2">
      <c r="A79" s="619"/>
      <c r="B79" s="1047" t="s">
        <v>41</v>
      </c>
      <c r="C79" s="1048"/>
      <c r="D79" s="1048"/>
      <c r="E79" s="1048"/>
      <c r="F79" s="1048"/>
      <c r="G79" s="1049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1052"/>
      <c r="X79" s="1053"/>
      <c r="Y79" s="10"/>
      <c r="Z79" s="10"/>
      <c r="AA79" s="10"/>
    </row>
    <row r="80" spans="1:28" s="3" customFormat="1" ht="15" customHeight="1" x14ac:dyDescent="0.2">
      <c r="A80" s="619"/>
      <c r="B80" s="493"/>
      <c r="C80" s="494"/>
      <c r="D80" s="494"/>
      <c r="E80" s="494"/>
      <c r="F80" s="494"/>
      <c r="G80" s="495"/>
      <c r="H80" s="485" t="s">
        <v>786</v>
      </c>
      <c r="I80" s="485"/>
      <c r="J80" s="485"/>
      <c r="K80" s="486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1052"/>
      <c r="X80" s="1053"/>
      <c r="Y80" s="10"/>
      <c r="AA80" s="10"/>
    </row>
    <row r="81" spans="1:27" s="3" customFormat="1" ht="15" customHeight="1" thickBot="1" x14ac:dyDescent="0.25">
      <c r="A81" s="619"/>
      <c r="B81" s="496"/>
      <c r="C81" s="497"/>
      <c r="D81" s="497"/>
      <c r="E81" s="497"/>
      <c r="F81" s="497"/>
      <c r="G81" s="498"/>
      <c r="H81" s="487" t="s">
        <v>40</v>
      </c>
      <c r="I81" s="487"/>
      <c r="J81" s="487"/>
      <c r="K81" s="488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1054"/>
      <c r="X81" s="1055"/>
      <c r="Y81" s="10"/>
      <c r="AA81" s="10"/>
    </row>
    <row r="82" spans="1:27" s="3" customFormat="1" ht="15" customHeight="1" thickTop="1" x14ac:dyDescent="0.2">
      <c r="A82" s="619"/>
      <c r="B82" s="476" t="s">
        <v>48</v>
      </c>
      <c r="C82" s="477"/>
      <c r="D82" s="477"/>
      <c r="E82" s="477"/>
      <c r="F82" s="477"/>
      <c r="G82" s="478"/>
      <c r="H82" s="63" t="s">
        <v>787</v>
      </c>
      <c r="I82" s="94" t="s">
        <v>10</v>
      </c>
      <c r="J82" s="263"/>
      <c r="K82" s="264"/>
      <c r="L82" s="491" t="s">
        <v>750</v>
      </c>
      <c r="M82" s="492"/>
      <c r="N82" s="472"/>
      <c r="O82" s="473"/>
      <c r="P82" s="472"/>
      <c r="Q82" s="473"/>
      <c r="R82" s="472"/>
      <c r="S82" s="473"/>
      <c r="T82" s="472"/>
      <c r="U82" s="662"/>
      <c r="W82" s="1056" t="s">
        <v>89</v>
      </c>
      <c r="X82" s="1057"/>
      <c r="Y82" s="10"/>
      <c r="Z82" s="10"/>
      <c r="AA82" s="10"/>
    </row>
    <row r="83" spans="1:27" s="3" customFormat="1" ht="15" customHeight="1" x14ac:dyDescent="0.2">
      <c r="A83" s="619"/>
      <c r="B83" s="1047" t="s">
        <v>43</v>
      </c>
      <c r="C83" s="1048"/>
      <c r="D83" s="1048"/>
      <c r="E83" s="1048"/>
      <c r="F83" s="1048"/>
      <c r="G83" s="1049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1058"/>
      <c r="X83" s="1059"/>
    </row>
    <row r="84" spans="1:27" s="3" customFormat="1" ht="15" customHeight="1" x14ac:dyDescent="0.2">
      <c r="A84" s="619"/>
      <c r="B84" s="1138"/>
      <c r="C84" s="1139"/>
      <c r="D84" s="1139"/>
      <c r="E84" s="1139"/>
      <c r="F84" s="1139"/>
      <c r="G84" s="1140"/>
      <c r="H84" s="485" t="s">
        <v>70</v>
      </c>
      <c r="I84" s="485"/>
      <c r="J84" s="485"/>
      <c r="K84" s="486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1058"/>
      <c r="X84" s="1059"/>
    </row>
    <row r="85" spans="1:27" s="3" customFormat="1" ht="15" customHeight="1" thickBot="1" x14ac:dyDescent="0.25">
      <c r="A85" s="619"/>
      <c r="B85" s="357"/>
      <c r="C85" s="358"/>
      <c r="D85" s="358"/>
      <c r="E85" s="358"/>
      <c r="F85" s="358"/>
      <c r="G85" s="544"/>
      <c r="H85" s="1062" t="s">
        <v>40</v>
      </c>
      <c r="I85" s="1062"/>
      <c r="J85" s="1062"/>
      <c r="K85" s="1063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1060"/>
      <c r="X85" s="1061"/>
    </row>
    <row r="86" spans="1:27" s="3" customFormat="1" ht="15" customHeight="1" thickTop="1" x14ac:dyDescent="0.2">
      <c r="A86" s="619"/>
      <c r="B86" s="476" t="s">
        <v>48</v>
      </c>
      <c r="C86" s="477"/>
      <c r="D86" s="477"/>
      <c r="E86" s="477"/>
      <c r="F86" s="477"/>
      <c r="G86" s="478"/>
      <c r="H86" s="63" t="s">
        <v>787</v>
      </c>
      <c r="I86" s="94" t="s">
        <v>10</v>
      </c>
      <c r="J86" s="263"/>
      <c r="K86" s="264"/>
      <c r="L86" s="491" t="s">
        <v>750</v>
      </c>
      <c r="M86" s="492"/>
      <c r="N86" s="472"/>
      <c r="O86" s="473"/>
      <c r="P86" s="472"/>
      <c r="Q86" s="473"/>
      <c r="R86" s="472"/>
      <c r="S86" s="473"/>
      <c r="T86" s="472"/>
      <c r="U86" s="662"/>
      <c r="W86" s="1064" t="s">
        <v>90</v>
      </c>
      <c r="X86" s="1065"/>
    </row>
    <row r="87" spans="1:27" s="3" customFormat="1" ht="15" customHeight="1" x14ac:dyDescent="0.2">
      <c r="A87" s="619"/>
      <c r="B87" s="1047" t="s">
        <v>43</v>
      </c>
      <c r="C87" s="1048"/>
      <c r="D87" s="1048"/>
      <c r="E87" s="1048"/>
      <c r="F87" s="1048"/>
      <c r="G87" s="1049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1066"/>
      <c r="X87" s="1067"/>
    </row>
    <row r="88" spans="1:27" s="3" customFormat="1" ht="15" customHeight="1" x14ac:dyDescent="0.2">
      <c r="A88" s="619"/>
      <c r="B88" s="493"/>
      <c r="C88" s="494"/>
      <c r="D88" s="494"/>
      <c r="E88" s="494"/>
      <c r="F88" s="494"/>
      <c r="G88" s="495"/>
      <c r="H88" s="485" t="s">
        <v>786</v>
      </c>
      <c r="I88" s="485"/>
      <c r="J88" s="485"/>
      <c r="K88" s="486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1066"/>
      <c r="X88" s="1067"/>
    </row>
    <row r="89" spans="1:27" s="3" customFormat="1" ht="15" customHeight="1" thickBot="1" x14ac:dyDescent="0.25">
      <c r="A89" s="619"/>
      <c r="B89" s="360"/>
      <c r="C89" s="361"/>
      <c r="D89" s="361"/>
      <c r="E89" s="361"/>
      <c r="F89" s="361"/>
      <c r="G89" s="1141"/>
      <c r="H89" s="1071" t="s">
        <v>40</v>
      </c>
      <c r="I89" s="1071"/>
      <c r="J89" s="1071"/>
      <c r="K89" s="1072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1068"/>
      <c r="X89" s="1069"/>
    </row>
    <row r="90" spans="1:27" s="3" customFormat="1" ht="15" customHeight="1" thickTop="1" x14ac:dyDescent="0.2">
      <c r="A90" s="619"/>
      <c r="B90" s="1142" t="s">
        <v>53</v>
      </c>
      <c r="C90" s="1143"/>
      <c r="D90" s="1143"/>
      <c r="E90" s="1143"/>
      <c r="F90" s="1143"/>
      <c r="G90" s="1144"/>
      <c r="H90" s="123" t="s">
        <v>790</v>
      </c>
      <c r="I90" s="113" t="s">
        <v>59</v>
      </c>
      <c r="J90" s="746">
        <v>1</v>
      </c>
      <c r="K90" s="749">
        <v>1</v>
      </c>
      <c r="L90" s="1145"/>
      <c r="M90" s="1146"/>
      <c r="N90" s="1147"/>
      <c r="O90" s="1146"/>
      <c r="P90" s="1147"/>
      <c r="Q90" s="1146"/>
      <c r="R90" s="1147"/>
      <c r="S90" s="1146"/>
      <c r="T90" s="759" t="s">
        <v>64</v>
      </c>
      <c r="U90" s="760"/>
      <c r="W90" s="1073" t="s">
        <v>140</v>
      </c>
      <c r="X90" s="1074"/>
    </row>
    <row r="91" spans="1:27" s="3" customFormat="1" ht="15" customHeight="1" x14ac:dyDescent="0.2">
      <c r="A91" s="619"/>
      <c r="B91" s="482" t="s">
        <v>75</v>
      </c>
      <c r="C91" s="483"/>
      <c r="D91" s="483"/>
      <c r="E91" s="483"/>
      <c r="F91" s="483"/>
      <c r="G91" s="484"/>
      <c r="H91" s="112"/>
      <c r="I91" s="113" t="s">
        <v>1228</v>
      </c>
      <c r="J91" s="746"/>
      <c r="K91" s="749"/>
      <c r="L91" s="918"/>
      <c r="M91" s="919"/>
      <c r="N91" s="920"/>
      <c r="O91" s="919"/>
      <c r="P91" s="920"/>
      <c r="Q91" s="919"/>
      <c r="R91" s="920"/>
      <c r="S91" s="919"/>
      <c r="T91" s="507" t="s">
        <v>63</v>
      </c>
      <c r="U91" s="508"/>
      <c r="W91" s="1075"/>
      <c r="X91" s="1076"/>
    </row>
    <row r="92" spans="1:27" s="3" customFormat="1" ht="15" customHeight="1" x14ac:dyDescent="0.2">
      <c r="A92" s="619"/>
      <c r="B92" s="482" t="s">
        <v>794</v>
      </c>
      <c r="C92" s="483"/>
      <c r="D92" s="483"/>
      <c r="E92" s="483"/>
      <c r="F92" s="483"/>
      <c r="G92" s="484"/>
      <c r="H92" s="112"/>
      <c r="I92" s="113" t="s">
        <v>60</v>
      </c>
      <c r="J92" s="746"/>
      <c r="K92" s="749"/>
      <c r="L92" s="921"/>
      <c r="M92" s="922"/>
      <c r="N92" s="923"/>
      <c r="O92" s="922"/>
      <c r="P92" s="923"/>
      <c r="Q92" s="922"/>
      <c r="R92" s="923"/>
      <c r="S92" s="922"/>
      <c r="T92" s="511" t="s">
        <v>52</v>
      </c>
      <c r="U92" s="512"/>
      <c r="W92" s="1075"/>
      <c r="X92" s="1076"/>
    </row>
    <row r="93" spans="1:27" s="3" customFormat="1" ht="15" customHeight="1" x14ac:dyDescent="0.2">
      <c r="A93" s="619"/>
      <c r="B93" s="454" t="s">
        <v>68</v>
      </c>
      <c r="C93" s="455"/>
      <c r="D93" s="455"/>
      <c r="E93" s="455"/>
      <c r="F93" s="455"/>
      <c r="G93" s="456"/>
      <c r="H93" s="112"/>
      <c r="I93" s="113" t="s">
        <v>61</v>
      </c>
      <c r="J93" s="746"/>
      <c r="K93" s="749"/>
      <c r="L93" s="432"/>
      <c r="M93" s="433"/>
      <c r="N93" s="434"/>
      <c r="O93" s="433"/>
      <c r="P93" s="434"/>
      <c r="Q93" s="433"/>
      <c r="R93" s="434"/>
      <c r="S93" s="433"/>
      <c r="T93" s="759" t="s">
        <v>65</v>
      </c>
      <c r="U93" s="760"/>
      <c r="W93" s="1075"/>
      <c r="X93" s="1076"/>
    </row>
    <row r="94" spans="1:27" s="3" customFormat="1" ht="15" customHeight="1" x14ac:dyDescent="0.2">
      <c r="A94" s="619"/>
      <c r="B94" s="502"/>
      <c r="C94" s="503"/>
      <c r="D94" s="503"/>
      <c r="E94" s="503"/>
      <c r="F94" s="503"/>
      <c r="G94" s="504"/>
      <c r="H94" s="112"/>
      <c r="I94" s="113" t="s">
        <v>54</v>
      </c>
      <c r="J94" s="746"/>
      <c r="K94" s="749"/>
      <c r="L94" s="543"/>
      <c r="M94" s="458"/>
      <c r="N94" s="457"/>
      <c r="O94" s="458"/>
      <c r="P94" s="457"/>
      <c r="Q94" s="458"/>
      <c r="R94" s="457"/>
      <c r="S94" s="458"/>
      <c r="T94" s="509" t="s">
        <v>66</v>
      </c>
      <c r="U94" s="510"/>
      <c r="W94" s="1075"/>
      <c r="X94" s="1076"/>
    </row>
    <row r="95" spans="1:27" s="3" customFormat="1" ht="15" customHeight="1" x14ac:dyDescent="0.2">
      <c r="A95" s="619"/>
      <c r="B95" s="357"/>
      <c r="C95" s="358"/>
      <c r="D95" s="358"/>
      <c r="E95" s="358"/>
      <c r="F95" s="358"/>
      <c r="G95" s="544"/>
      <c r="H95" s="114"/>
      <c r="I95" s="113" t="s">
        <v>56</v>
      </c>
      <c r="J95" s="746"/>
      <c r="K95" s="749"/>
      <c r="L95" s="505"/>
      <c r="M95" s="506"/>
      <c r="N95" s="515"/>
      <c r="O95" s="506"/>
      <c r="P95" s="515"/>
      <c r="Q95" s="506"/>
      <c r="R95" s="515"/>
      <c r="S95" s="506"/>
      <c r="T95" s="511" t="s">
        <v>67</v>
      </c>
      <c r="U95" s="512"/>
      <c r="W95" s="1075"/>
      <c r="X95" s="1076"/>
    </row>
    <row r="96" spans="1:27" s="3" customFormat="1" ht="15" customHeight="1" x14ac:dyDescent="0.2">
      <c r="A96" s="619"/>
      <c r="B96" s="357"/>
      <c r="C96" s="358"/>
      <c r="D96" s="358"/>
      <c r="E96" s="358"/>
      <c r="F96" s="358"/>
      <c r="G96" s="544"/>
      <c r="H96" s="114"/>
      <c r="I96" s="113" t="s">
        <v>1229</v>
      </c>
      <c r="J96" s="746"/>
      <c r="K96" s="749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1075"/>
      <c r="X96" s="1076"/>
    </row>
    <row r="97" spans="1:24" s="3" customFormat="1" ht="15" customHeight="1" x14ac:dyDescent="0.2">
      <c r="A97" s="619"/>
      <c r="B97" s="499"/>
      <c r="C97" s="500"/>
      <c r="D97" s="500"/>
      <c r="E97" s="500"/>
      <c r="F97" s="500"/>
      <c r="G97" s="501"/>
      <c r="H97" s="114"/>
      <c r="I97" s="217" t="s">
        <v>1230</v>
      </c>
      <c r="J97" s="746"/>
      <c r="K97" s="749"/>
      <c r="L97" s="1148">
        <v>30</v>
      </c>
      <c r="M97" s="1149">
        <v>32</v>
      </c>
      <c r="N97" s="1149">
        <v>34</v>
      </c>
      <c r="O97" s="1149">
        <v>36</v>
      </c>
      <c r="P97" s="1149">
        <v>40</v>
      </c>
      <c r="Q97" s="1149" t="s">
        <v>109</v>
      </c>
      <c r="R97" s="1149">
        <v>46</v>
      </c>
      <c r="S97" s="910">
        <v>50</v>
      </c>
      <c r="T97" s="910">
        <v>54</v>
      </c>
      <c r="U97" s="758" t="s">
        <v>44</v>
      </c>
      <c r="W97" s="1075"/>
      <c r="X97" s="1076"/>
    </row>
    <row r="98" spans="1:24" s="3" customFormat="1" ht="15" customHeight="1" thickBot="1" x14ac:dyDescent="0.25">
      <c r="A98" s="619"/>
      <c r="B98" s="451"/>
      <c r="C98" s="452"/>
      <c r="D98" s="452"/>
      <c r="E98" s="452"/>
      <c r="F98" s="452"/>
      <c r="G98" s="453"/>
      <c r="H98" s="117"/>
      <c r="I98" s="118" t="s">
        <v>58</v>
      </c>
      <c r="J98" s="747"/>
      <c r="K98" s="750"/>
      <c r="L98" s="909"/>
      <c r="M98" s="911"/>
      <c r="N98" s="911"/>
      <c r="O98" s="911"/>
      <c r="P98" s="911"/>
      <c r="Q98" s="911"/>
      <c r="R98" s="911"/>
      <c r="S98" s="911"/>
      <c r="T98" s="911"/>
      <c r="U98" s="757"/>
      <c r="W98" s="1075"/>
      <c r="X98" s="1076"/>
    </row>
    <row r="99" spans="1:24" s="3" customFormat="1" ht="15" customHeight="1" thickTop="1" x14ac:dyDescent="0.25">
      <c r="A99" s="619"/>
      <c r="B99" s="479" t="s">
        <v>53</v>
      </c>
      <c r="C99" s="480"/>
      <c r="D99" s="480"/>
      <c r="E99" s="480"/>
      <c r="F99" s="480"/>
      <c r="G99" s="481"/>
      <c r="H99" s="110" t="s">
        <v>790</v>
      </c>
      <c r="I99" s="176" t="s">
        <v>81</v>
      </c>
      <c r="J99" s="745">
        <v>1</v>
      </c>
      <c r="K99" s="748">
        <v>1</v>
      </c>
      <c r="L99" s="905"/>
      <c r="M99" s="906"/>
      <c r="N99" s="907"/>
      <c r="O99" s="906"/>
      <c r="P99" s="907"/>
      <c r="Q99" s="906"/>
      <c r="R99" s="907"/>
      <c r="S99" s="906"/>
      <c r="T99" s="516" t="s">
        <v>64</v>
      </c>
      <c r="U99" s="517"/>
      <c r="W99" s="1077" t="s">
        <v>91</v>
      </c>
      <c r="X99" s="1078"/>
    </row>
    <row r="100" spans="1:24" s="3" customFormat="1" ht="15" customHeight="1" x14ac:dyDescent="0.25">
      <c r="A100" s="619"/>
      <c r="B100" s="482" t="s">
        <v>73</v>
      </c>
      <c r="C100" s="483"/>
      <c r="D100" s="483"/>
      <c r="E100" s="483"/>
      <c r="F100" s="483"/>
      <c r="G100" s="484"/>
      <c r="H100" s="112"/>
      <c r="I100" s="176" t="s">
        <v>1231</v>
      </c>
      <c r="J100" s="746"/>
      <c r="K100" s="749"/>
      <c r="L100" s="918"/>
      <c r="M100" s="919"/>
      <c r="N100" s="920"/>
      <c r="O100" s="919"/>
      <c r="P100" s="920"/>
      <c r="Q100" s="919"/>
      <c r="R100" s="920"/>
      <c r="S100" s="919"/>
      <c r="T100" s="507" t="s">
        <v>63</v>
      </c>
      <c r="U100" s="508"/>
      <c r="W100" s="1079"/>
      <c r="X100" s="1080"/>
    </row>
    <row r="101" spans="1:24" s="3" customFormat="1" ht="15" customHeight="1" x14ac:dyDescent="0.25">
      <c r="A101" s="619"/>
      <c r="B101" s="482" t="s">
        <v>794</v>
      </c>
      <c r="C101" s="483"/>
      <c r="D101" s="483"/>
      <c r="E101" s="483"/>
      <c r="F101" s="483"/>
      <c r="G101" s="484"/>
      <c r="H101" s="112"/>
      <c r="I101" s="176" t="s">
        <v>82</v>
      </c>
      <c r="J101" s="746"/>
      <c r="K101" s="749"/>
      <c r="L101" s="921"/>
      <c r="M101" s="922"/>
      <c r="N101" s="923"/>
      <c r="O101" s="922"/>
      <c r="P101" s="923"/>
      <c r="Q101" s="922"/>
      <c r="R101" s="923"/>
      <c r="S101" s="922"/>
      <c r="T101" s="511" t="s">
        <v>52</v>
      </c>
      <c r="U101" s="512"/>
      <c r="W101" s="1079"/>
      <c r="X101" s="1080"/>
    </row>
    <row r="102" spans="1:24" s="3" customFormat="1" ht="15" customHeight="1" x14ac:dyDescent="0.25">
      <c r="A102" s="619"/>
      <c r="B102" s="454" t="s">
        <v>68</v>
      </c>
      <c r="C102" s="455"/>
      <c r="D102" s="455"/>
      <c r="E102" s="455"/>
      <c r="F102" s="455"/>
      <c r="G102" s="456"/>
      <c r="H102" s="112"/>
      <c r="I102" s="176" t="s">
        <v>83</v>
      </c>
      <c r="J102" s="746"/>
      <c r="K102" s="749"/>
      <c r="L102" s="432"/>
      <c r="M102" s="433"/>
      <c r="N102" s="434"/>
      <c r="O102" s="433"/>
      <c r="P102" s="434"/>
      <c r="Q102" s="433"/>
      <c r="R102" s="434"/>
      <c r="S102" s="433"/>
      <c r="T102" s="759" t="s">
        <v>65</v>
      </c>
      <c r="U102" s="760"/>
      <c r="W102" s="1079"/>
      <c r="X102" s="1080"/>
    </row>
    <row r="103" spans="1:24" s="3" customFormat="1" ht="15" customHeight="1" x14ac:dyDescent="0.25">
      <c r="A103" s="619"/>
      <c r="B103" s="502"/>
      <c r="C103" s="503"/>
      <c r="D103" s="503"/>
      <c r="E103" s="503"/>
      <c r="F103" s="503"/>
      <c r="G103" s="504"/>
      <c r="H103" s="112"/>
      <c r="I103" s="176" t="s">
        <v>76</v>
      </c>
      <c r="J103" s="746"/>
      <c r="K103" s="749"/>
      <c r="L103" s="543"/>
      <c r="M103" s="458"/>
      <c r="N103" s="457"/>
      <c r="O103" s="458"/>
      <c r="P103" s="457"/>
      <c r="Q103" s="458"/>
      <c r="R103" s="457"/>
      <c r="S103" s="458"/>
      <c r="T103" s="509" t="s">
        <v>66</v>
      </c>
      <c r="U103" s="510"/>
      <c r="W103" s="1079"/>
      <c r="X103" s="1080"/>
    </row>
    <row r="104" spans="1:24" s="3" customFormat="1" ht="15" customHeight="1" x14ac:dyDescent="0.25">
      <c r="A104" s="619"/>
      <c r="B104" s="357"/>
      <c r="C104" s="358"/>
      <c r="D104" s="358"/>
      <c r="E104" s="358"/>
      <c r="F104" s="358"/>
      <c r="G104" s="544"/>
      <c r="H104" s="114"/>
      <c r="I104" s="176" t="s">
        <v>78</v>
      </c>
      <c r="J104" s="746"/>
      <c r="K104" s="749"/>
      <c r="L104" s="505"/>
      <c r="M104" s="506"/>
      <c r="N104" s="515"/>
      <c r="O104" s="506"/>
      <c r="P104" s="515"/>
      <c r="Q104" s="506"/>
      <c r="R104" s="515"/>
      <c r="S104" s="506"/>
      <c r="T104" s="511" t="s">
        <v>67</v>
      </c>
      <c r="U104" s="512"/>
      <c r="W104" s="1079"/>
      <c r="X104" s="1080"/>
    </row>
    <row r="105" spans="1:24" s="3" customFormat="1" ht="15" customHeight="1" x14ac:dyDescent="0.25">
      <c r="A105" s="619"/>
      <c r="B105" s="357"/>
      <c r="C105" s="358"/>
      <c r="D105" s="358"/>
      <c r="E105" s="358"/>
      <c r="F105" s="358"/>
      <c r="G105" s="544"/>
      <c r="H105" s="114"/>
      <c r="I105" s="176" t="s">
        <v>1232</v>
      </c>
      <c r="J105" s="746"/>
      <c r="K105" s="749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1079"/>
      <c r="X105" s="1080"/>
    </row>
    <row r="106" spans="1:24" s="3" customFormat="1" ht="15" customHeight="1" x14ac:dyDescent="0.25">
      <c r="A106" s="619"/>
      <c r="B106" s="499"/>
      <c r="C106" s="500"/>
      <c r="D106" s="500"/>
      <c r="E106" s="500"/>
      <c r="F106" s="500"/>
      <c r="G106" s="501"/>
      <c r="H106" s="114"/>
      <c r="I106" s="301" t="s">
        <v>1233</v>
      </c>
      <c r="J106" s="746"/>
      <c r="K106" s="749"/>
      <c r="L106" s="1148">
        <v>30</v>
      </c>
      <c r="M106" s="1149">
        <v>32</v>
      </c>
      <c r="N106" s="1149">
        <v>34</v>
      </c>
      <c r="O106" s="1149">
        <v>36</v>
      </c>
      <c r="P106" s="1149">
        <v>40</v>
      </c>
      <c r="Q106" s="1149" t="s">
        <v>109</v>
      </c>
      <c r="R106" s="1149">
        <v>46</v>
      </c>
      <c r="S106" s="910">
        <v>50</v>
      </c>
      <c r="T106" s="910">
        <v>54</v>
      </c>
      <c r="U106" s="758" t="s">
        <v>44</v>
      </c>
      <c r="W106" s="1079"/>
      <c r="X106" s="1080"/>
    </row>
    <row r="107" spans="1:24" s="3" customFormat="1" ht="15" customHeight="1" thickBot="1" x14ac:dyDescent="0.3">
      <c r="A107" s="619"/>
      <c r="B107" s="451"/>
      <c r="C107" s="452"/>
      <c r="D107" s="452"/>
      <c r="E107" s="452"/>
      <c r="F107" s="452"/>
      <c r="G107" s="453"/>
      <c r="H107" s="117"/>
      <c r="I107" s="177" t="s">
        <v>80</v>
      </c>
      <c r="J107" s="747"/>
      <c r="K107" s="750"/>
      <c r="L107" s="909"/>
      <c r="M107" s="911"/>
      <c r="N107" s="911"/>
      <c r="O107" s="911"/>
      <c r="P107" s="911"/>
      <c r="Q107" s="911"/>
      <c r="R107" s="911"/>
      <c r="S107" s="911"/>
      <c r="T107" s="911"/>
      <c r="U107" s="757"/>
      <c r="W107" s="1079"/>
      <c r="X107" s="1080"/>
    </row>
    <row r="108" spans="1:24" s="3" customFormat="1" ht="15" customHeight="1" thickTop="1" x14ac:dyDescent="0.2">
      <c r="A108" s="619"/>
      <c r="B108" s="479" t="s">
        <v>53</v>
      </c>
      <c r="C108" s="480"/>
      <c r="D108" s="480"/>
      <c r="E108" s="480"/>
      <c r="F108" s="480"/>
      <c r="G108" s="481"/>
      <c r="H108" s="110" t="s">
        <v>790</v>
      </c>
      <c r="I108" s="113" t="s">
        <v>99</v>
      </c>
      <c r="J108" s="745">
        <v>1</v>
      </c>
      <c r="K108" s="748">
        <v>1</v>
      </c>
      <c r="L108" s="905"/>
      <c r="M108" s="906"/>
      <c r="N108" s="907"/>
      <c r="O108" s="906"/>
      <c r="P108" s="907"/>
      <c r="Q108" s="906"/>
      <c r="R108" s="907"/>
      <c r="S108" s="906"/>
      <c r="T108" s="516" t="s">
        <v>64</v>
      </c>
      <c r="U108" s="517"/>
      <c r="W108" s="1081" t="s">
        <v>92</v>
      </c>
      <c r="X108" s="1082"/>
    </row>
    <row r="109" spans="1:24" s="3" customFormat="1" ht="15" customHeight="1" x14ac:dyDescent="0.2">
      <c r="A109" s="619"/>
      <c r="B109" s="482" t="s">
        <v>93</v>
      </c>
      <c r="C109" s="483"/>
      <c r="D109" s="483"/>
      <c r="E109" s="483"/>
      <c r="F109" s="483"/>
      <c r="G109" s="484"/>
      <c r="H109" s="112"/>
      <c r="I109" s="113" t="s">
        <v>1234</v>
      </c>
      <c r="J109" s="746"/>
      <c r="K109" s="749"/>
      <c r="L109" s="918"/>
      <c r="M109" s="919"/>
      <c r="N109" s="920"/>
      <c r="O109" s="919"/>
      <c r="P109" s="920"/>
      <c r="Q109" s="919"/>
      <c r="R109" s="920"/>
      <c r="S109" s="919"/>
      <c r="T109" s="507" t="s">
        <v>63</v>
      </c>
      <c r="U109" s="508"/>
      <c r="W109" s="1083"/>
      <c r="X109" s="1084"/>
    </row>
    <row r="110" spans="1:24" s="3" customFormat="1" ht="15" customHeight="1" x14ac:dyDescent="0.2">
      <c r="A110" s="619"/>
      <c r="B110" s="482" t="s">
        <v>793</v>
      </c>
      <c r="C110" s="483"/>
      <c r="D110" s="483"/>
      <c r="E110" s="483"/>
      <c r="F110" s="483"/>
      <c r="G110" s="484"/>
      <c r="H110" s="112"/>
      <c r="I110" s="113" t="s">
        <v>100</v>
      </c>
      <c r="J110" s="746"/>
      <c r="K110" s="749"/>
      <c r="L110" s="921"/>
      <c r="M110" s="922"/>
      <c r="N110" s="923"/>
      <c r="O110" s="922"/>
      <c r="P110" s="923"/>
      <c r="Q110" s="922"/>
      <c r="R110" s="923"/>
      <c r="S110" s="922"/>
      <c r="T110" s="511" t="s">
        <v>52</v>
      </c>
      <c r="U110" s="512"/>
      <c r="W110" s="1083"/>
      <c r="X110" s="1084"/>
    </row>
    <row r="111" spans="1:24" s="3" customFormat="1" ht="15" customHeight="1" x14ac:dyDescent="0.2">
      <c r="A111" s="619"/>
      <c r="B111" s="454" t="s">
        <v>68</v>
      </c>
      <c r="C111" s="455"/>
      <c r="D111" s="455"/>
      <c r="E111" s="455"/>
      <c r="F111" s="455"/>
      <c r="G111" s="456"/>
      <c r="H111" s="112"/>
      <c r="I111" s="113" t="s">
        <v>101</v>
      </c>
      <c r="J111" s="746"/>
      <c r="K111" s="749"/>
      <c r="L111" s="432"/>
      <c r="M111" s="433"/>
      <c r="N111" s="434"/>
      <c r="O111" s="433"/>
      <c r="P111" s="434"/>
      <c r="Q111" s="433"/>
      <c r="R111" s="434"/>
      <c r="S111" s="433"/>
      <c r="T111" s="759" t="s">
        <v>65</v>
      </c>
      <c r="U111" s="760"/>
      <c r="W111" s="1083"/>
      <c r="X111" s="1084"/>
    </row>
    <row r="112" spans="1:24" s="3" customFormat="1" ht="15" customHeight="1" x14ac:dyDescent="0.2">
      <c r="A112" s="619"/>
      <c r="B112" s="502"/>
      <c r="C112" s="503"/>
      <c r="D112" s="503"/>
      <c r="E112" s="503"/>
      <c r="F112" s="503"/>
      <c r="G112" s="504"/>
      <c r="H112" s="112"/>
      <c r="I112" s="113" t="s">
        <v>94</v>
      </c>
      <c r="J112" s="746"/>
      <c r="K112" s="749"/>
      <c r="L112" s="543"/>
      <c r="M112" s="458"/>
      <c r="N112" s="457"/>
      <c r="O112" s="458"/>
      <c r="P112" s="457"/>
      <c r="Q112" s="458"/>
      <c r="R112" s="457"/>
      <c r="S112" s="458"/>
      <c r="T112" s="509" t="s">
        <v>66</v>
      </c>
      <c r="U112" s="510"/>
      <c r="W112" s="1083"/>
      <c r="X112" s="1084"/>
    </row>
    <row r="113" spans="1:32" s="3" customFormat="1" ht="15" customHeight="1" x14ac:dyDescent="0.2">
      <c r="A113" s="619"/>
      <c r="B113" s="357"/>
      <c r="C113" s="358"/>
      <c r="D113" s="358"/>
      <c r="E113" s="358"/>
      <c r="F113" s="358"/>
      <c r="G113" s="544"/>
      <c r="H113" s="114"/>
      <c r="I113" s="113" t="s">
        <v>96</v>
      </c>
      <c r="J113" s="746"/>
      <c r="K113" s="749"/>
      <c r="L113" s="505"/>
      <c r="M113" s="506"/>
      <c r="N113" s="515"/>
      <c r="O113" s="506"/>
      <c r="P113" s="515"/>
      <c r="Q113" s="506"/>
      <c r="R113" s="515"/>
      <c r="S113" s="506"/>
      <c r="T113" s="511" t="s">
        <v>67</v>
      </c>
      <c r="U113" s="512"/>
      <c r="W113" s="1083"/>
      <c r="X113" s="1084"/>
    </row>
    <row r="114" spans="1:32" s="3" customFormat="1" ht="15" customHeight="1" x14ac:dyDescent="0.2">
      <c r="A114" s="619"/>
      <c r="B114" s="357"/>
      <c r="C114" s="358"/>
      <c r="D114" s="358"/>
      <c r="E114" s="358"/>
      <c r="F114" s="358"/>
      <c r="G114" s="544"/>
      <c r="H114" s="114"/>
      <c r="I114" s="113" t="s">
        <v>1235</v>
      </c>
      <c r="J114" s="746"/>
      <c r="K114" s="749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1083"/>
      <c r="X114" s="1084"/>
    </row>
    <row r="115" spans="1:32" s="3" customFormat="1" ht="15" customHeight="1" x14ac:dyDescent="0.2">
      <c r="A115" s="619"/>
      <c r="B115" s="499"/>
      <c r="C115" s="500"/>
      <c r="D115" s="500"/>
      <c r="E115" s="500"/>
      <c r="F115" s="500"/>
      <c r="G115" s="501"/>
      <c r="H115" s="114"/>
      <c r="I115" s="217" t="s">
        <v>1236</v>
      </c>
      <c r="J115" s="746"/>
      <c r="K115" s="749"/>
      <c r="L115" s="1148">
        <v>30</v>
      </c>
      <c r="M115" s="1149">
        <v>32</v>
      </c>
      <c r="N115" s="1149">
        <v>34</v>
      </c>
      <c r="O115" s="1149">
        <v>36</v>
      </c>
      <c r="P115" s="1149">
        <v>40</v>
      </c>
      <c r="Q115" s="1149" t="s">
        <v>109</v>
      </c>
      <c r="R115" s="1149">
        <v>46</v>
      </c>
      <c r="S115" s="910">
        <v>50</v>
      </c>
      <c r="T115" s="910">
        <v>54</v>
      </c>
      <c r="U115" s="758" t="s">
        <v>44</v>
      </c>
      <c r="W115" s="1083"/>
      <c r="X115" s="1084"/>
    </row>
    <row r="116" spans="1:32" s="3" customFormat="1" ht="15" customHeight="1" thickBot="1" x14ac:dyDescent="0.25">
      <c r="A116" s="619"/>
      <c r="B116" s="451"/>
      <c r="C116" s="452"/>
      <c r="D116" s="452"/>
      <c r="E116" s="452"/>
      <c r="F116" s="452"/>
      <c r="G116" s="453"/>
      <c r="H116" s="117"/>
      <c r="I116" s="178" t="s">
        <v>98</v>
      </c>
      <c r="J116" s="747"/>
      <c r="K116" s="750"/>
      <c r="L116" s="909"/>
      <c r="M116" s="911"/>
      <c r="N116" s="911"/>
      <c r="O116" s="911"/>
      <c r="P116" s="911"/>
      <c r="Q116" s="911"/>
      <c r="R116" s="911"/>
      <c r="S116" s="911"/>
      <c r="T116" s="911"/>
      <c r="U116" s="757"/>
      <c r="W116" s="1083"/>
      <c r="X116" s="1084"/>
    </row>
    <row r="117" spans="1:32" s="3" customFormat="1" ht="15" customHeight="1" thickTop="1" x14ac:dyDescent="0.2">
      <c r="A117" s="619"/>
      <c r="B117" s="479"/>
      <c r="C117" s="480"/>
      <c r="D117" s="480"/>
      <c r="E117" s="480"/>
      <c r="F117" s="480"/>
      <c r="G117" s="481"/>
      <c r="H117" s="110"/>
      <c r="I117" s="111"/>
      <c r="J117" s="745">
        <v>2</v>
      </c>
      <c r="K117" s="748">
        <v>2</v>
      </c>
      <c r="L117" s="905"/>
      <c r="M117" s="906"/>
      <c r="N117" s="907"/>
      <c r="O117" s="906"/>
      <c r="P117" s="907"/>
      <c r="Q117" s="906"/>
      <c r="R117" s="907"/>
      <c r="S117" s="906"/>
      <c r="T117" s="516" t="s">
        <v>64</v>
      </c>
      <c r="U117" s="517"/>
      <c r="W117" s="1073" t="s">
        <v>141</v>
      </c>
      <c r="X117" s="1087"/>
      <c r="Y117" s="1089"/>
      <c r="Z117" s="1090"/>
    </row>
    <row r="118" spans="1:32" s="3" customFormat="1" ht="15" customHeight="1" x14ac:dyDescent="0.2">
      <c r="A118" s="619"/>
      <c r="B118" s="482"/>
      <c r="C118" s="483"/>
      <c r="D118" s="483"/>
      <c r="E118" s="483"/>
      <c r="F118" s="483"/>
      <c r="G118" s="484"/>
      <c r="H118" s="112"/>
      <c r="I118" s="113"/>
      <c r="J118" s="746"/>
      <c r="K118" s="749"/>
      <c r="L118" s="918"/>
      <c r="M118" s="919"/>
      <c r="N118" s="920"/>
      <c r="O118" s="919"/>
      <c r="P118" s="920"/>
      <c r="Q118" s="919"/>
      <c r="R118" s="920"/>
      <c r="S118" s="919"/>
      <c r="T118" s="507" t="s">
        <v>63</v>
      </c>
      <c r="U118" s="508"/>
      <c r="W118" s="1075"/>
      <c r="X118" s="1088"/>
      <c r="Y118" s="1091"/>
      <c r="Z118" s="1092"/>
    </row>
    <row r="119" spans="1:32" s="3" customFormat="1" ht="15" customHeight="1" x14ac:dyDescent="0.2">
      <c r="A119" s="619"/>
      <c r="B119" s="482"/>
      <c r="C119" s="483"/>
      <c r="D119" s="483"/>
      <c r="E119" s="483"/>
      <c r="F119" s="483"/>
      <c r="G119" s="484"/>
      <c r="H119" s="112"/>
      <c r="I119" s="113"/>
      <c r="J119" s="746"/>
      <c r="K119" s="749"/>
      <c r="L119" s="921"/>
      <c r="M119" s="922"/>
      <c r="N119" s="923"/>
      <c r="O119" s="922"/>
      <c r="P119" s="923"/>
      <c r="Q119" s="922"/>
      <c r="R119" s="923"/>
      <c r="S119" s="922"/>
      <c r="T119" s="511" t="s">
        <v>52</v>
      </c>
      <c r="U119" s="512"/>
      <c r="W119" s="1075"/>
      <c r="X119" s="1088"/>
      <c r="Y119" s="1091"/>
      <c r="Z119" s="1092"/>
    </row>
    <row r="120" spans="1:32" s="3" customFormat="1" ht="15" customHeight="1" x14ac:dyDescent="0.2">
      <c r="A120" s="619"/>
      <c r="B120" s="454" t="s">
        <v>69</v>
      </c>
      <c r="C120" s="455"/>
      <c r="D120" s="455"/>
      <c r="E120" s="455"/>
      <c r="F120" s="455"/>
      <c r="G120" s="456"/>
      <c r="H120" s="112"/>
      <c r="I120" s="113"/>
      <c r="J120" s="746"/>
      <c r="K120" s="749"/>
      <c r="L120" s="432"/>
      <c r="M120" s="433"/>
      <c r="N120" s="434"/>
      <c r="O120" s="433"/>
      <c r="P120" s="434"/>
      <c r="Q120" s="433"/>
      <c r="R120" s="434"/>
      <c r="S120" s="433"/>
      <c r="T120" s="759" t="s">
        <v>65</v>
      </c>
      <c r="U120" s="760"/>
      <c r="W120" s="1075"/>
      <c r="X120" s="1088"/>
      <c r="Y120" s="1091"/>
      <c r="Z120" s="1092"/>
    </row>
    <row r="121" spans="1:32" s="3" customFormat="1" ht="15" customHeight="1" x14ac:dyDescent="0.2">
      <c r="A121" s="619"/>
      <c r="B121" s="454" t="s">
        <v>130</v>
      </c>
      <c r="C121" s="455"/>
      <c r="D121" s="455"/>
      <c r="E121" s="455"/>
      <c r="F121" s="455"/>
      <c r="G121" s="456"/>
      <c r="H121" s="112"/>
      <c r="I121" s="113"/>
      <c r="J121" s="746"/>
      <c r="K121" s="749"/>
      <c r="L121" s="543"/>
      <c r="M121" s="458"/>
      <c r="N121" s="457"/>
      <c r="O121" s="458"/>
      <c r="P121" s="457"/>
      <c r="Q121" s="458"/>
      <c r="R121" s="457"/>
      <c r="S121" s="458"/>
      <c r="T121" s="509" t="s">
        <v>66</v>
      </c>
      <c r="U121" s="510"/>
      <c r="W121" s="1075"/>
      <c r="X121" s="1088"/>
      <c r="Y121" s="1091"/>
      <c r="Z121" s="1092"/>
    </row>
    <row r="122" spans="1:32" s="3" customFormat="1" ht="15" customHeight="1" x14ac:dyDescent="0.2">
      <c r="A122" s="619"/>
      <c r="B122" s="357"/>
      <c r="C122" s="358"/>
      <c r="D122" s="358"/>
      <c r="E122" s="358"/>
      <c r="F122" s="358"/>
      <c r="G122" s="544"/>
      <c r="H122" s="114"/>
      <c r="I122" s="113"/>
      <c r="J122" s="746"/>
      <c r="K122" s="749"/>
      <c r="L122" s="505"/>
      <c r="M122" s="506"/>
      <c r="N122" s="515"/>
      <c r="O122" s="506"/>
      <c r="P122" s="515"/>
      <c r="Q122" s="506"/>
      <c r="R122" s="515"/>
      <c r="S122" s="506"/>
      <c r="T122" s="511" t="s">
        <v>67</v>
      </c>
      <c r="U122" s="512"/>
      <c r="W122" s="1075"/>
      <c r="X122" s="1088"/>
      <c r="Y122" s="1091"/>
      <c r="Z122" s="1092"/>
    </row>
    <row r="123" spans="1:32" s="3" customFormat="1" ht="15" customHeight="1" x14ac:dyDescent="0.2">
      <c r="A123" s="619"/>
      <c r="B123" s="499"/>
      <c r="C123" s="500"/>
      <c r="D123" s="500"/>
      <c r="E123" s="500"/>
      <c r="F123" s="500"/>
      <c r="G123" s="501"/>
      <c r="H123" s="114"/>
      <c r="I123" s="113"/>
      <c r="J123" s="746"/>
      <c r="K123" s="749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1075"/>
      <c r="X123" s="1088"/>
      <c r="Y123" s="1091"/>
      <c r="Z123" s="1092"/>
    </row>
    <row r="124" spans="1:32" s="3" customFormat="1" ht="15" customHeight="1" x14ac:dyDescent="0.2">
      <c r="A124" s="619"/>
      <c r="B124" s="499"/>
      <c r="C124" s="500"/>
      <c r="D124" s="500"/>
      <c r="E124" s="500"/>
      <c r="F124" s="500"/>
      <c r="G124" s="501"/>
      <c r="H124" s="114"/>
      <c r="I124" s="113"/>
      <c r="J124" s="746"/>
      <c r="K124" s="749"/>
      <c r="L124" s="908"/>
      <c r="M124" s="910"/>
      <c r="N124" s="910"/>
      <c r="O124" s="910"/>
      <c r="P124" s="910"/>
      <c r="Q124" s="910"/>
      <c r="R124" s="910"/>
      <c r="S124" s="910"/>
      <c r="T124" s="910"/>
      <c r="U124" s="758" t="s">
        <v>44</v>
      </c>
      <c r="W124" s="1075"/>
      <c r="X124" s="1088"/>
      <c r="Y124" s="1091"/>
      <c r="Z124" s="1092"/>
    </row>
    <row r="125" spans="1:32" s="3" customFormat="1" ht="15" customHeight="1" thickBot="1" x14ac:dyDescent="0.25">
      <c r="A125" s="619"/>
      <c r="B125" s="451"/>
      <c r="C125" s="452"/>
      <c r="D125" s="452"/>
      <c r="E125" s="452"/>
      <c r="F125" s="452"/>
      <c r="G125" s="453"/>
      <c r="H125" s="117"/>
      <c r="I125" s="118"/>
      <c r="J125" s="747"/>
      <c r="K125" s="750"/>
      <c r="L125" s="909"/>
      <c r="M125" s="911"/>
      <c r="N125" s="911"/>
      <c r="O125" s="911"/>
      <c r="P125" s="911"/>
      <c r="Q125" s="911"/>
      <c r="R125" s="911"/>
      <c r="S125" s="911"/>
      <c r="T125" s="911"/>
      <c r="U125" s="757"/>
      <c r="W125" s="1075"/>
      <c r="X125" s="1088"/>
      <c r="Y125" s="1093"/>
      <c r="Z125" s="1094"/>
    </row>
    <row r="126" spans="1:32" ht="15" customHeight="1" thickTop="1" x14ac:dyDescent="0.2">
      <c r="A126" s="116"/>
      <c r="B126" s="479"/>
      <c r="C126" s="480"/>
      <c r="D126" s="480"/>
      <c r="E126" s="480"/>
      <c r="F126" s="480"/>
      <c r="G126" s="481"/>
      <c r="H126" s="110"/>
      <c r="I126" s="111"/>
      <c r="J126" s="745">
        <v>1</v>
      </c>
      <c r="K126" s="748">
        <v>1</v>
      </c>
      <c r="L126" s="905"/>
      <c r="M126" s="906"/>
      <c r="N126" s="907"/>
      <c r="O126" s="906"/>
      <c r="P126" s="907"/>
      <c r="Q126" s="906"/>
      <c r="R126" s="907"/>
      <c r="S126" s="906"/>
      <c r="T126" s="516" t="s">
        <v>64</v>
      </c>
      <c r="U126" s="517"/>
      <c r="V126" s="3"/>
      <c r="W126" s="1077" t="s">
        <v>142</v>
      </c>
      <c r="X126" s="1095"/>
    </row>
    <row r="127" spans="1:32" ht="15" customHeight="1" x14ac:dyDescent="0.2">
      <c r="A127" s="116"/>
      <c r="B127" s="482"/>
      <c r="C127" s="483"/>
      <c r="D127" s="483"/>
      <c r="E127" s="483"/>
      <c r="F127" s="483"/>
      <c r="G127" s="484"/>
      <c r="H127" s="112"/>
      <c r="I127" s="113"/>
      <c r="J127" s="746"/>
      <c r="K127" s="749"/>
      <c r="L127" s="918"/>
      <c r="M127" s="919"/>
      <c r="N127" s="920"/>
      <c r="O127" s="919"/>
      <c r="P127" s="920"/>
      <c r="Q127" s="919"/>
      <c r="R127" s="920"/>
      <c r="S127" s="919"/>
      <c r="T127" s="507" t="s">
        <v>63</v>
      </c>
      <c r="U127" s="508"/>
      <c r="V127" s="3"/>
      <c r="W127" s="1079"/>
      <c r="X127" s="1096"/>
    </row>
    <row r="128" spans="1:32" s="5" customFormat="1" ht="15" customHeight="1" x14ac:dyDescent="0.2">
      <c r="A128" s="116"/>
      <c r="B128" s="482"/>
      <c r="C128" s="483"/>
      <c r="D128" s="483"/>
      <c r="E128" s="483"/>
      <c r="F128" s="483"/>
      <c r="G128" s="484"/>
      <c r="H128" s="112"/>
      <c r="I128" s="113"/>
      <c r="J128" s="746"/>
      <c r="K128" s="749"/>
      <c r="L128" s="921"/>
      <c r="M128" s="922"/>
      <c r="N128" s="923"/>
      <c r="O128" s="922"/>
      <c r="P128" s="923"/>
      <c r="Q128" s="922"/>
      <c r="R128" s="923"/>
      <c r="S128" s="922"/>
      <c r="T128" s="511" t="s">
        <v>52</v>
      </c>
      <c r="U128" s="512"/>
      <c r="V128" s="3"/>
      <c r="W128" s="1079"/>
      <c r="X128" s="1096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454" t="s">
        <v>145</v>
      </c>
      <c r="C129" s="455"/>
      <c r="D129" s="455"/>
      <c r="E129" s="455"/>
      <c r="F129" s="455"/>
      <c r="G129" s="456"/>
      <c r="H129" s="112"/>
      <c r="I129" s="113"/>
      <c r="J129" s="746"/>
      <c r="K129" s="749"/>
      <c r="L129" s="432"/>
      <c r="M129" s="433"/>
      <c r="N129" s="434"/>
      <c r="O129" s="433"/>
      <c r="P129" s="434"/>
      <c r="Q129" s="433"/>
      <c r="R129" s="434"/>
      <c r="S129" s="433"/>
      <c r="T129" s="759" t="s">
        <v>65</v>
      </c>
      <c r="U129" s="760"/>
      <c r="V129" s="3"/>
      <c r="W129" s="1079"/>
      <c r="X129" s="1096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502"/>
      <c r="C130" s="503"/>
      <c r="D130" s="503"/>
      <c r="E130" s="503"/>
      <c r="F130" s="503"/>
      <c r="G130" s="504"/>
      <c r="H130" s="112"/>
      <c r="I130" s="113"/>
      <c r="J130" s="746"/>
      <c r="K130" s="749"/>
      <c r="L130" s="543"/>
      <c r="M130" s="458"/>
      <c r="N130" s="457"/>
      <c r="O130" s="458"/>
      <c r="P130" s="457"/>
      <c r="Q130" s="458"/>
      <c r="R130" s="457"/>
      <c r="S130" s="458"/>
      <c r="T130" s="509" t="s">
        <v>66</v>
      </c>
      <c r="U130" s="510"/>
      <c r="V130" s="3"/>
      <c r="W130" s="1079"/>
      <c r="X130" s="1096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357"/>
      <c r="C131" s="358"/>
      <c r="D131" s="358"/>
      <c r="E131" s="358"/>
      <c r="F131" s="358"/>
      <c r="G131" s="544"/>
      <c r="H131" s="114"/>
      <c r="I131" s="113"/>
      <c r="J131" s="746"/>
      <c r="K131" s="749"/>
      <c r="L131" s="505"/>
      <c r="M131" s="506"/>
      <c r="N131" s="515"/>
      <c r="O131" s="506"/>
      <c r="P131" s="515"/>
      <c r="Q131" s="506"/>
      <c r="R131" s="515"/>
      <c r="S131" s="506"/>
      <c r="T131" s="511" t="s">
        <v>67</v>
      </c>
      <c r="U131" s="512"/>
      <c r="V131" s="3"/>
      <c r="W131" s="1079"/>
      <c r="X131" s="1096"/>
    </row>
    <row r="132" spans="1:32" ht="15" customHeight="1" x14ac:dyDescent="0.2">
      <c r="A132" s="116"/>
      <c r="B132" s="499"/>
      <c r="C132" s="500"/>
      <c r="D132" s="500"/>
      <c r="E132" s="500"/>
      <c r="F132" s="500"/>
      <c r="G132" s="501"/>
      <c r="H132" s="114"/>
      <c r="I132" s="113"/>
      <c r="J132" s="746"/>
      <c r="K132" s="749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1079"/>
      <c r="X132" s="1096"/>
    </row>
    <row r="133" spans="1:32" ht="15" customHeight="1" x14ac:dyDescent="0.2">
      <c r="A133" s="116"/>
      <c r="B133" s="499"/>
      <c r="C133" s="500"/>
      <c r="D133" s="500"/>
      <c r="E133" s="500"/>
      <c r="F133" s="500"/>
      <c r="G133" s="501"/>
      <c r="H133" s="114"/>
      <c r="I133" s="113"/>
      <c r="J133" s="746"/>
      <c r="K133" s="749"/>
      <c r="L133" s="1097"/>
      <c r="M133" s="1099"/>
      <c r="N133" s="1099"/>
      <c r="O133" s="1099"/>
      <c r="P133" s="1099"/>
      <c r="Q133" s="1099"/>
      <c r="R133" s="1099"/>
      <c r="S133" s="1099"/>
      <c r="T133" s="1099"/>
      <c r="U133" s="758" t="s">
        <v>44</v>
      </c>
      <c r="V133" s="3"/>
      <c r="W133" s="1079"/>
      <c r="X133" s="1096"/>
    </row>
    <row r="134" spans="1:32" ht="15" customHeight="1" thickBot="1" x14ac:dyDescent="0.25">
      <c r="A134" s="116"/>
      <c r="B134" s="451"/>
      <c r="C134" s="452"/>
      <c r="D134" s="452"/>
      <c r="E134" s="452"/>
      <c r="F134" s="452"/>
      <c r="G134" s="453"/>
      <c r="H134" s="117"/>
      <c r="I134" s="118"/>
      <c r="J134" s="747"/>
      <c r="K134" s="750"/>
      <c r="L134" s="1098"/>
      <c r="M134" s="1100"/>
      <c r="N134" s="1100"/>
      <c r="O134" s="1100"/>
      <c r="P134" s="1100"/>
      <c r="Q134" s="1100"/>
      <c r="R134" s="1100"/>
      <c r="S134" s="1100"/>
      <c r="T134" s="1100"/>
      <c r="U134" s="757"/>
      <c r="V134" s="3"/>
      <c r="W134" s="1079"/>
      <c r="X134" s="1096"/>
    </row>
    <row r="135" spans="1:32" ht="15" customHeight="1" thickTop="1" x14ac:dyDescent="0.2">
      <c r="A135" s="116"/>
      <c r="B135" s="479"/>
      <c r="C135" s="480"/>
      <c r="D135" s="480"/>
      <c r="E135" s="480"/>
      <c r="F135" s="480"/>
      <c r="G135" s="481"/>
      <c r="H135" s="110"/>
      <c r="I135" s="111"/>
      <c r="J135" s="745">
        <v>1</v>
      </c>
      <c r="K135" s="748">
        <v>1</v>
      </c>
      <c r="L135" s="905"/>
      <c r="M135" s="906"/>
      <c r="N135" s="907"/>
      <c r="O135" s="906"/>
      <c r="P135" s="907"/>
      <c r="Q135" s="906"/>
      <c r="R135" s="907"/>
      <c r="S135" s="906"/>
      <c r="T135" s="516" t="s">
        <v>64</v>
      </c>
      <c r="U135" s="517"/>
      <c r="W135" s="1081" t="s">
        <v>146</v>
      </c>
      <c r="X135" s="1082"/>
    </row>
    <row r="136" spans="1:32" ht="15" customHeight="1" x14ac:dyDescent="0.2">
      <c r="A136" s="116"/>
      <c r="B136" s="482"/>
      <c r="C136" s="483"/>
      <c r="D136" s="483"/>
      <c r="E136" s="483"/>
      <c r="F136" s="483"/>
      <c r="G136" s="484"/>
      <c r="H136" s="112"/>
      <c r="I136" s="113"/>
      <c r="J136" s="746"/>
      <c r="K136" s="749"/>
      <c r="L136" s="918"/>
      <c r="M136" s="919"/>
      <c r="N136" s="920"/>
      <c r="O136" s="919"/>
      <c r="P136" s="920"/>
      <c r="Q136" s="919"/>
      <c r="R136" s="920"/>
      <c r="S136" s="919"/>
      <c r="T136" s="507" t="s">
        <v>63</v>
      </c>
      <c r="U136" s="508"/>
      <c r="W136" s="1083"/>
      <c r="X136" s="1084"/>
    </row>
    <row r="137" spans="1:32" ht="15" customHeight="1" x14ac:dyDescent="0.2">
      <c r="A137" s="116"/>
      <c r="B137" s="482"/>
      <c r="C137" s="483"/>
      <c r="D137" s="483"/>
      <c r="E137" s="483"/>
      <c r="F137" s="483"/>
      <c r="G137" s="484"/>
      <c r="H137" s="112"/>
      <c r="I137" s="113"/>
      <c r="J137" s="746"/>
      <c r="K137" s="749"/>
      <c r="L137" s="921"/>
      <c r="M137" s="922"/>
      <c r="N137" s="923"/>
      <c r="O137" s="922"/>
      <c r="P137" s="923"/>
      <c r="Q137" s="922"/>
      <c r="R137" s="923"/>
      <c r="S137" s="922"/>
      <c r="T137" s="511" t="s">
        <v>52</v>
      </c>
      <c r="U137" s="512"/>
      <c r="W137" s="1083"/>
      <c r="X137" s="1084"/>
    </row>
    <row r="138" spans="1:32" ht="15" customHeight="1" x14ac:dyDescent="0.2">
      <c r="A138" s="116"/>
      <c r="B138" s="454"/>
      <c r="C138" s="455"/>
      <c r="D138" s="455"/>
      <c r="E138" s="455"/>
      <c r="F138" s="455"/>
      <c r="G138" s="456"/>
      <c r="H138" s="112"/>
      <c r="I138" s="113"/>
      <c r="J138" s="746"/>
      <c r="K138" s="749"/>
      <c r="L138" s="432"/>
      <c r="M138" s="433"/>
      <c r="N138" s="434"/>
      <c r="O138" s="433"/>
      <c r="P138" s="434"/>
      <c r="Q138" s="433"/>
      <c r="R138" s="434"/>
      <c r="S138" s="433"/>
      <c r="T138" s="759" t="s">
        <v>65</v>
      </c>
      <c r="U138" s="760"/>
      <c r="W138" s="1083"/>
      <c r="X138" s="1084"/>
    </row>
    <row r="139" spans="1:32" ht="15" customHeight="1" x14ac:dyDescent="0.2">
      <c r="A139" s="116"/>
      <c r="B139" s="502"/>
      <c r="C139" s="503"/>
      <c r="D139" s="503"/>
      <c r="E139" s="503"/>
      <c r="F139" s="503"/>
      <c r="G139" s="504"/>
      <c r="H139" s="112"/>
      <c r="I139" s="113"/>
      <c r="J139" s="746"/>
      <c r="K139" s="749"/>
      <c r="L139" s="543"/>
      <c r="M139" s="458"/>
      <c r="N139" s="457"/>
      <c r="O139" s="458"/>
      <c r="P139" s="457"/>
      <c r="Q139" s="458"/>
      <c r="R139" s="457"/>
      <c r="S139" s="458"/>
      <c r="T139" s="509" t="s">
        <v>66</v>
      </c>
      <c r="U139" s="510"/>
      <c r="W139" s="1083"/>
      <c r="X139" s="1084"/>
    </row>
    <row r="140" spans="1:32" ht="15" customHeight="1" x14ac:dyDescent="0.2">
      <c r="A140" s="116"/>
      <c r="B140" s="357"/>
      <c r="C140" s="358"/>
      <c r="D140" s="358"/>
      <c r="E140" s="358"/>
      <c r="F140" s="358"/>
      <c r="G140" s="544"/>
      <c r="H140" s="114"/>
      <c r="I140" s="113"/>
      <c r="J140" s="746"/>
      <c r="K140" s="749"/>
      <c r="L140" s="505"/>
      <c r="M140" s="506"/>
      <c r="N140" s="515"/>
      <c r="O140" s="506"/>
      <c r="P140" s="515"/>
      <c r="Q140" s="506"/>
      <c r="R140" s="515"/>
      <c r="S140" s="506"/>
      <c r="T140" s="511" t="s">
        <v>67</v>
      </c>
      <c r="U140" s="512"/>
      <c r="W140" s="1083"/>
      <c r="X140" s="1084"/>
    </row>
    <row r="141" spans="1:32" ht="15" customHeight="1" x14ac:dyDescent="0.2">
      <c r="A141" s="116"/>
      <c r="B141" s="499"/>
      <c r="C141" s="500"/>
      <c r="D141" s="500"/>
      <c r="E141" s="500"/>
      <c r="F141" s="500"/>
      <c r="G141" s="501"/>
      <c r="H141" s="114"/>
      <c r="I141" s="113"/>
      <c r="J141" s="746"/>
      <c r="K141" s="749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1083"/>
      <c r="X141" s="1084"/>
    </row>
    <row r="142" spans="1:32" ht="15" customHeight="1" x14ac:dyDescent="0.2">
      <c r="A142" s="116"/>
      <c r="B142" s="499"/>
      <c r="C142" s="500"/>
      <c r="D142" s="500"/>
      <c r="E142" s="500"/>
      <c r="F142" s="500"/>
      <c r="G142" s="501"/>
      <c r="H142" s="114"/>
      <c r="I142" s="113"/>
      <c r="J142" s="746"/>
      <c r="K142" s="749"/>
      <c r="L142" s="1097"/>
      <c r="M142" s="1099"/>
      <c r="N142" s="1099"/>
      <c r="O142" s="1099"/>
      <c r="P142" s="1099"/>
      <c r="Q142" s="1099"/>
      <c r="R142" s="1099"/>
      <c r="S142" s="1099"/>
      <c r="T142" s="1099"/>
      <c r="U142" s="758" t="s">
        <v>44</v>
      </c>
      <c r="W142" s="1083"/>
      <c r="X142" s="1084"/>
    </row>
    <row r="143" spans="1:32" ht="15" customHeight="1" thickBot="1" x14ac:dyDescent="0.25">
      <c r="A143" s="116"/>
      <c r="B143" s="451"/>
      <c r="C143" s="452"/>
      <c r="D143" s="452"/>
      <c r="E143" s="452"/>
      <c r="F143" s="452"/>
      <c r="G143" s="453"/>
      <c r="H143" s="117"/>
      <c r="I143" s="118"/>
      <c r="J143" s="747"/>
      <c r="K143" s="750"/>
      <c r="L143" s="1098"/>
      <c r="M143" s="1100"/>
      <c r="N143" s="1100"/>
      <c r="O143" s="1100"/>
      <c r="P143" s="1100"/>
      <c r="Q143" s="1100"/>
      <c r="R143" s="1100"/>
      <c r="S143" s="1100"/>
      <c r="T143" s="1100"/>
      <c r="U143" s="757"/>
      <c r="W143" s="1083"/>
      <c r="X143" s="1084"/>
    </row>
    <row r="144" spans="1:32" ht="15" customHeight="1" x14ac:dyDescent="0.2">
      <c r="A144" s="116"/>
      <c r="B144" s="435" t="s">
        <v>746</v>
      </c>
      <c r="C144" s="436"/>
      <c r="D144" s="436"/>
      <c r="E144" s="436"/>
      <c r="F144" s="436"/>
      <c r="G144" s="437"/>
      <c r="H144" s="110" t="s">
        <v>745</v>
      </c>
      <c r="I144" s="219" t="s">
        <v>674</v>
      </c>
      <c r="J144" s="248"/>
      <c r="K144" s="249"/>
      <c r="L144" s="1153" t="s">
        <v>675</v>
      </c>
      <c r="M144" s="441"/>
      <c r="N144" s="440"/>
      <c r="O144" s="441"/>
      <c r="P144" s="440"/>
      <c r="Q144" s="441"/>
      <c r="R144" s="440"/>
      <c r="S144" s="441"/>
      <c r="T144" s="440"/>
      <c r="U144" s="442"/>
      <c r="W144" s="883" t="s">
        <v>612</v>
      </c>
      <c r="X144" s="854"/>
      <c r="Y144" s="854"/>
      <c r="Z144" s="884"/>
    </row>
    <row r="145" spans="1:26" ht="15" customHeight="1" x14ac:dyDescent="0.2">
      <c r="A145" s="116"/>
      <c r="B145" s="1150" t="s">
        <v>749</v>
      </c>
      <c r="C145" s="1151"/>
      <c r="D145" s="1151"/>
      <c r="E145" s="1151"/>
      <c r="F145" s="1151"/>
      <c r="G145" s="1152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885"/>
      <c r="X145" s="855"/>
      <c r="Y145" s="855"/>
      <c r="Z145" s="886"/>
    </row>
    <row r="146" spans="1:26" ht="15" customHeight="1" thickBot="1" x14ac:dyDescent="0.25">
      <c r="A146" s="116"/>
      <c r="B146" s="583"/>
      <c r="C146" s="584"/>
      <c r="D146" s="584"/>
      <c r="E146" s="584"/>
      <c r="F146" s="584"/>
      <c r="G146" s="585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885"/>
      <c r="X146" s="855"/>
      <c r="Y146" s="855"/>
      <c r="Z146" s="886"/>
    </row>
    <row r="147" spans="1:26" ht="15" customHeight="1" x14ac:dyDescent="0.2">
      <c r="A147" s="116"/>
      <c r="B147" s="1109" t="s">
        <v>748</v>
      </c>
      <c r="C147" s="1110"/>
      <c r="D147" s="1110"/>
      <c r="E147" s="1110"/>
      <c r="F147" s="1110"/>
      <c r="G147" s="1111"/>
      <c r="H147" s="225" t="s">
        <v>712</v>
      </c>
      <c r="I147" s="223" t="s">
        <v>10</v>
      </c>
      <c r="J147" s="248"/>
      <c r="K147" s="249"/>
      <c r="L147" s="903" t="s">
        <v>750</v>
      </c>
      <c r="M147" s="904"/>
      <c r="N147" s="440"/>
      <c r="O147" s="441"/>
      <c r="P147" s="440"/>
      <c r="Q147" s="441"/>
      <c r="R147" s="440"/>
      <c r="S147" s="441"/>
      <c r="T147" s="440"/>
      <c r="U147" s="442"/>
      <c r="W147" s="885"/>
      <c r="X147" s="855"/>
      <c r="Y147" s="855"/>
      <c r="Z147" s="886"/>
    </row>
    <row r="148" spans="1:26" ht="15" customHeight="1" x14ac:dyDescent="0.2">
      <c r="A148" s="116"/>
      <c r="B148" s="533" t="s">
        <v>139</v>
      </c>
      <c r="C148" s="534"/>
      <c r="D148" s="534"/>
      <c r="E148" s="534"/>
      <c r="F148" s="534"/>
      <c r="G148" s="535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885"/>
      <c r="X148" s="855"/>
      <c r="Y148" s="855"/>
      <c r="Z148" s="886"/>
    </row>
    <row r="149" spans="1:26" ht="15" customHeight="1" thickBot="1" x14ac:dyDescent="0.25">
      <c r="A149" s="116"/>
      <c r="B149" s="459" t="s">
        <v>138</v>
      </c>
      <c r="C149" s="460"/>
      <c r="D149" s="460"/>
      <c r="E149" s="460"/>
      <c r="F149" s="460"/>
      <c r="G149" s="461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26"/>
      <c r="X149" s="1127"/>
      <c r="Y149" s="1127"/>
      <c r="Z149" s="1128"/>
    </row>
    <row r="150" spans="1:26" ht="15" customHeight="1" x14ac:dyDescent="0.2">
      <c r="A150" s="116"/>
      <c r="B150" s="562" t="s">
        <v>676</v>
      </c>
      <c r="C150" s="563"/>
      <c r="D150" s="563"/>
      <c r="E150" s="563"/>
      <c r="F150" s="563"/>
      <c r="G150" s="564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856" t="s">
        <v>756</v>
      </c>
      <c r="X150" s="857"/>
      <c r="Y150" s="857"/>
      <c r="Z150" s="858"/>
    </row>
    <row r="151" spans="1:26" ht="15" customHeight="1" x14ac:dyDescent="0.2">
      <c r="A151" s="116"/>
      <c r="B151" s="565" t="s">
        <v>131</v>
      </c>
      <c r="C151" s="566"/>
      <c r="D151" s="566"/>
      <c r="E151" s="566"/>
      <c r="F151" s="566"/>
      <c r="G151" s="567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859"/>
      <c r="X151" s="860"/>
      <c r="Y151" s="860"/>
      <c r="Z151" s="861"/>
    </row>
    <row r="152" spans="1:26" ht="15" customHeight="1" x14ac:dyDescent="0.2">
      <c r="A152" s="116"/>
      <c r="B152" s="565" t="s">
        <v>132</v>
      </c>
      <c r="C152" s="566"/>
      <c r="D152" s="566"/>
      <c r="E152" s="566"/>
      <c r="F152" s="566"/>
      <c r="G152" s="567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859"/>
      <c r="X152" s="860"/>
      <c r="Y152" s="860"/>
      <c r="Z152" s="861"/>
    </row>
    <row r="153" spans="1:26" ht="15" customHeight="1" x14ac:dyDescent="0.2">
      <c r="A153" s="116"/>
      <c r="B153" s="624" t="s">
        <v>133</v>
      </c>
      <c r="C153" s="625"/>
      <c r="D153" s="625"/>
      <c r="E153" s="625"/>
      <c r="F153" s="625"/>
      <c r="G153" s="626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859"/>
      <c r="X153" s="860"/>
      <c r="Y153" s="860"/>
      <c r="Z153" s="861"/>
    </row>
    <row r="154" spans="1:26" ht="15" customHeight="1" thickBot="1" x14ac:dyDescent="0.25">
      <c r="A154" s="116"/>
      <c r="B154" s="1101" t="s">
        <v>134</v>
      </c>
      <c r="C154" s="1102"/>
      <c r="D154" s="1102"/>
      <c r="E154" s="1102"/>
      <c r="F154" s="1102"/>
      <c r="G154" s="1103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862"/>
      <c r="X154" s="863"/>
      <c r="Y154" s="863"/>
      <c r="Z154" s="864"/>
    </row>
    <row r="155" spans="1:26" x14ac:dyDescent="0.2">
      <c r="B155" s="462" t="s">
        <v>700</v>
      </c>
      <c r="C155" s="463"/>
      <c r="D155" s="463"/>
      <c r="E155" s="463"/>
      <c r="F155" s="463"/>
      <c r="G155" s="464"/>
      <c r="H155" s="139"/>
      <c r="I155" s="140" t="s">
        <v>701</v>
      </c>
      <c r="J155" s="246" t="s">
        <v>21</v>
      </c>
      <c r="K155" s="260">
        <v>1</v>
      </c>
      <c r="L155" s="674"/>
      <c r="M155" s="675"/>
      <c r="N155" s="675"/>
      <c r="O155" s="675"/>
      <c r="P155" s="675"/>
      <c r="Q155" s="675"/>
      <c r="R155" s="675"/>
      <c r="S155" s="675"/>
      <c r="T155" s="675"/>
      <c r="U155" s="676"/>
    </row>
    <row r="156" spans="1:26" x14ac:dyDescent="0.2">
      <c r="B156" s="1104" t="s">
        <v>702</v>
      </c>
      <c r="C156" s="1105"/>
      <c r="D156" s="1105"/>
      <c r="E156" s="1105"/>
      <c r="F156" s="1105"/>
      <c r="G156" s="1105"/>
      <c r="H156" s="197"/>
      <c r="I156" s="224" t="s">
        <v>703</v>
      </c>
      <c r="J156" s="261" t="s">
        <v>21</v>
      </c>
      <c r="K156" s="262">
        <v>1</v>
      </c>
      <c r="L156" s="1106"/>
      <c r="M156" s="1107"/>
      <c r="N156" s="1107"/>
      <c r="O156" s="1107"/>
      <c r="P156" s="1107"/>
      <c r="Q156" s="1107"/>
      <c r="R156" s="1107"/>
      <c r="S156" s="1107"/>
      <c r="T156" s="1107"/>
      <c r="U156" s="1108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924" t="s">
        <v>12</v>
      </c>
      <c r="C1" s="925"/>
      <c r="D1" s="925"/>
      <c r="E1" s="925"/>
      <c r="F1" s="925"/>
      <c r="G1" s="926" t="s">
        <v>706</v>
      </c>
      <c r="H1" s="926"/>
      <c r="I1" s="153"/>
      <c r="J1" s="153"/>
      <c r="K1" s="927" t="s">
        <v>707</v>
      </c>
      <c r="L1" s="927"/>
      <c r="M1" s="154" t="s">
        <v>707</v>
      </c>
      <c r="N1" s="928" t="s">
        <v>4</v>
      </c>
      <c r="O1" s="928"/>
      <c r="P1" s="928" t="s">
        <v>710</v>
      </c>
      <c r="Q1" s="928"/>
      <c r="R1" s="928"/>
      <c r="S1" s="928"/>
      <c r="T1" s="808" t="s">
        <v>22</v>
      </c>
      <c r="U1" s="809"/>
    </row>
    <row r="2" spans="1:29" s="1" customFormat="1" ht="15" customHeight="1" x14ac:dyDescent="0.3">
      <c r="A2" s="617"/>
      <c r="B2" s="942" t="s">
        <v>712</v>
      </c>
      <c r="C2" s="943"/>
      <c r="D2" s="943"/>
      <c r="E2" s="943"/>
      <c r="F2" s="944"/>
      <c r="G2" s="945" t="s">
        <v>706</v>
      </c>
      <c r="H2" s="946"/>
      <c r="I2" s="946"/>
      <c r="J2" s="946"/>
      <c r="K2" s="946"/>
      <c r="L2" s="946"/>
      <c r="M2" s="947"/>
      <c r="N2" s="948" t="s">
        <v>710</v>
      </c>
      <c r="O2" s="949"/>
      <c r="P2" s="949"/>
      <c r="Q2" s="949"/>
      <c r="R2" s="949"/>
      <c r="S2" s="950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712"/>
      <c r="B3" s="951" t="s">
        <v>709</v>
      </c>
      <c r="C3" s="952"/>
      <c r="D3" s="952"/>
      <c r="E3" s="952"/>
      <c r="F3" s="953"/>
      <c r="G3" s="954" t="s">
        <v>709</v>
      </c>
      <c r="H3" s="955"/>
      <c r="I3" s="955"/>
      <c r="J3" s="955"/>
      <c r="K3" s="955"/>
      <c r="L3" s="955"/>
      <c r="M3" s="956"/>
      <c r="N3" s="806" t="s">
        <v>710</v>
      </c>
      <c r="O3" s="807"/>
      <c r="P3" s="807"/>
      <c r="Q3" s="807"/>
      <c r="R3" s="807"/>
      <c r="S3" s="957"/>
      <c r="T3" s="935" t="s">
        <v>708</v>
      </c>
      <c r="U3" s="936"/>
    </row>
    <row r="4" spans="1:29" ht="15" customHeight="1" x14ac:dyDescent="0.25">
      <c r="A4" s="732"/>
      <c r="B4" s="937"/>
      <c r="C4" s="937"/>
      <c r="D4" s="937"/>
      <c r="E4" s="937"/>
      <c r="F4" s="937"/>
      <c r="G4" s="938"/>
      <c r="H4" s="46"/>
      <c r="I4" s="47"/>
      <c r="J4" s="939" t="s">
        <v>11</v>
      </c>
      <c r="K4" s="940"/>
      <c r="L4" s="932" t="s">
        <v>704</v>
      </c>
      <c r="M4" s="933"/>
      <c r="N4" s="934"/>
      <c r="O4" s="933"/>
      <c r="P4" s="934"/>
      <c r="Q4" s="933"/>
      <c r="R4" s="934"/>
      <c r="S4" s="933"/>
      <c r="T4" s="934"/>
      <c r="U4" s="941"/>
      <c r="Z4" s="18" t="s">
        <v>693</v>
      </c>
    </row>
    <row r="5" spans="1:29" ht="15" customHeight="1" thickBot="1" x14ac:dyDescent="0.25">
      <c r="A5" s="733"/>
      <c r="B5" s="724"/>
      <c r="C5" s="724"/>
      <c r="D5" s="724"/>
      <c r="E5" s="724"/>
      <c r="F5" s="724"/>
      <c r="G5" s="725"/>
      <c r="H5" s="50"/>
      <c r="I5" s="47"/>
      <c r="J5" s="156" t="s">
        <v>709</v>
      </c>
      <c r="K5" s="52" t="s">
        <v>711</v>
      </c>
      <c r="L5" s="962" t="s">
        <v>705</v>
      </c>
      <c r="M5" s="651"/>
      <c r="N5" s="650"/>
      <c r="O5" s="651"/>
      <c r="P5" s="650"/>
      <c r="Q5" s="651"/>
      <c r="R5" s="650"/>
      <c r="S5" s="651"/>
      <c r="T5" s="650"/>
      <c r="U5" s="737"/>
    </row>
    <row r="6" spans="1:29" s="3" customFormat="1" ht="15" customHeight="1" x14ac:dyDescent="0.3">
      <c r="A6" s="616"/>
      <c r="B6" s="929" t="s">
        <v>710</v>
      </c>
      <c r="C6" s="930"/>
      <c r="D6" s="930"/>
      <c r="E6" s="930"/>
      <c r="F6" s="930"/>
      <c r="G6" s="931"/>
      <c r="H6" s="206" t="s">
        <v>712</v>
      </c>
      <c r="I6" s="120" t="s">
        <v>709</v>
      </c>
      <c r="J6" s="277"/>
      <c r="K6" s="278"/>
      <c r="L6" s="932"/>
      <c r="M6" s="933"/>
      <c r="N6" s="934"/>
      <c r="O6" s="933"/>
      <c r="P6" s="934"/>
      <c r="Q6" s="933"/>
      <c r="R6" s="934"/>
      <c r="S6" s="933"/>
      <c r="T6" s="934"/>
      <c r="U6" s="941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617"/>
      <c r="B7" s="59"/>
      <c r="C7" s="637"/>
      <c r="D7" s="637"/>
      <c r="E7" s="637"/>
      <c r="F7" s="637"/>
      <c r="G7" s="638"/>
      <c r="H7" s="60"/>
      <c r="I7" s="78"/>
      <c r="J7" s="227"/>
      <c r="K7" s="279"/>
      <c r="L7" s="958"/>
      <c r="M7" s="959"/>
      <c r="N7" s="960"/>
      <c r="O7" s="959"/>
      <c r="P7" s="960"/>
      <c r="Q7" s="959"/>
      <c r="R7" s="960"/>
      <c r="S7" s="959"/>
      <c r="T7" s="960"/>
      <c r="U7" s="961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617"/>
      <c r="B8" s="963"/>
      <c r="C8" s="964"/>
      <c r="D8" s="964"/>
      <c r="E8" s="964"/>
      <c r="F8" s="964"/>
      <c r="G8" s="965"/>
      <c r="H8" s="63"/>
      <c r="I8" s="64"/>
      <c r="J8" s="280"/>
      <c r="K8" s="281"/>
      <c r="L8" s="932"/>
      <c r="M8" s="933"/>
      <c r="N8" s="934"/>
      <c r="O8" s="933"/>
      <c r="P8" s="934"/>
      <c r="Q8" s="933"/>
      <c r="R8" s="934"/>
      <c r="S8" s="933"/>
      <c r="T8" s="934"/>
      <c r="U8" s="941"/>
      <c r="W8" s="12"/>
      <c r="X8" s="12"/>
      <c r="Y8" s="12"/>
      <c r="Z8" s="12"/>
    </row>
    <row r="9" spans="1:29" s="3" customFormat="1" ht="15" customHeight="1" x14ac:dyDescent="0.2">
      <c r="A9" s="617"/>
      <c r="B9" s="59"/>
      <c r="C9" s="637"/>
      <c r="D9" s="637"/>
      <c r="E9" s="637"/>
      <c r="F9" s="637"/>
      <c r="G9" s="638"/>
      <c r="H9" s="66"/>
      <c r="I9" s="119"/>
      <c r="J9" s="231"/>
      <c r="K9" s="275"/>
      <c r="L9" s="958"/>
      <c r="M9" s="959"/>
      <c r="N9" s="960"/>
      <c r="O9" s="959"/>
      <c r="P9" s="960"/>
      <c r="Q9" s="959"/>
      <c r="R9" s="960"/>
      <c r="S9" s="959"/>
      <c r="T9" s="960"/>
      <c r="U9" s="961"/>
      <c r="W9" s="12"/>
      <c r="X9" s="12"/>
      <c r="Y9" s="12"/>
      <c r="Z9" s="12"/>
    </row>
    <row r="10" spans="1:29" s="3" customFormat="1" ht="15" customHeight="1" x14ac:dyDescent="0.2">
      <c r="A10" s="617"/>
      <c r="B10" s="963"/>
      <c r="C10" s="964"/>
      <c r="D10" s="964"/>
      <c r="E10" s="964"/>
      <c r="F10" s="964"/>
      <c r="G10" s="965"/>
      <c r="H10" s="63"/>
      <c r="I10" s="64"/>
      <c r="J10" s="273"/>
      <c r="K10" s="274"/>
      <c r="L10" s="932"/>
      <c r="M10" s="933"/>
      <c r="N10" s="934"/>
      <c r="O10" s="933"/>
      <c r="P10" s="934"/>
      <c r="Q10" s="933"/>
      <c r="R10" s="934"/>
      <c r="S10" s="933"/>
      <c r="T10" s="934"/>
      <c r="U10" s="941"/>
      <c r="W10" s="13"/>
      <c r="X10" s="13"/>
    </row>
    <row r="11" spans="1:29" s="3" customFormat="1" ht="15" customHeight="1" x14ac:dyDescent="0.2">
      <c r="A11" s="617"/>
      <c r="B11" s="59"/>
      <c r="C11" s="637"/>
      <c r="D11" s="637"/>
      <c r="E11" s="637"/>
      <c r="F11" s="637"/>
      <c r="G11" s="638"/>
      <c r="H11" s="66"/>
      <c r="I11" s="119"/>
      <c r="J11" s="231"/>
      <c r="K11" s="275"/>
      <c r="L11" s="958"/>
      <c r="M11" s="959"/>
      <c r="N11" s="960"/>
      <c r="O11" s="959"/>
      <c r="P11" s="960"/>
      <c r="Q11" s="959"/>
      <c r="R11" s="960"/>
      <c r="S11" s="959"/>
      <c r="T11" s="960"/>
      <c r="U11" s="961"/>
      <c r="W11" s="7"/>
      <c r="X11" s="7"/>
    </row>
    <row r="12" spans="1:29" s="3" customFormat="1" ht="15" customHeight="1" x14ac:dyDescent="0.2">
      <c r="A12" s="617"/>
      <c r="B12" s="963"/>
      <c r="C12" s="964"/>
      <c r="D12" s="964"/>
      <c r="E12" s="964"/>
      <c r="F12" s="964"/>
      <c r="G12" s="965"/>
      <c r="H12" s="63"/>
      <c r="I12" s="64"/>
      <c r="J12" s="273"/>
      <c r="K12" s="274"/>
      <c r="L12" s="966"/>
      <c r="M12" s="967"/>
      <c r="N12" s="968"/>
      <c r="O12" s="967"/>
      <c r="P12" s="968"/>
      <c r="Q12" s="967"/>
      <c r="R12" s="968"/>
      <c r="S12" s="967"/>
      <c r="T12" s="968"/>
      <c r="U12" s="969"/>
      <c r="W12" s="7"/>
      <c r="X12" s="7"/>
    </row>
    <row r="13" spans="1:29" s="3" customFormat="1" ht="15" customHeight="1" x14ac:dyDescent="0.2">
      <c r="A13" s="617"/>
      <c r="B13" s="59"/>
      <c r="C13" s="637"/>
      <c r="D13" s="637"/>
      <c r="E13" s="637"/>
      <c r="F13" s="637"/>
      <c r="G13" s="638"/>
      <c r="H13" s="66"/>
      <c r="I13" s="119"/>
      <c r="J13" s="231"/>
      <c r="K13" s="275"/>
      <c r="L13" s="958"/>
      <c r="M13" s="959"/>
      <c r="N13" s="960"/>
      <c r="O13" s="959"/>
      <c r="P13" s="960"/>
      <c r="Q13" s="959"/>
      <c r="R13" s="960"/>
      <c r="S13" s="959"/>
      <c r="T13" s="960"/>
      <c r="U13" s="961"/>
      <c r="W13" s="7"/>
      <c r="X13" s="7"/>
    </row>
    <row r="14" spans="1:29" s="3" customFormat="1" ht="15" customHeight="1" x14ac:dyDescent="0.2">
      <c r="A14" s="617"/>
      <c r="B14" s="963"/>
      <c r="C14" s="964"/>
      <c r="D14" s="964"/>
      <c r="E14" s="964"/>
      <c r="F14" s="964"/>
      <c r="G14" s="965"/>
      <c r="H14" s="63"/>
      <c r="I14" s="74"/>
      <c r="J14" s="273"/>
      <c r="K14" s="274"/>
      <c r="L14" s="966"/>
      <c r="M14" s="967"/>
      <c r="N14" s="968"/>
      <c r="O14" s="967"/>
      <c r="P14" s="968"/>
      <c r="Q14" s="967"/>
      <c r="R14" s="968"/>
      <c r="S14" s="967"/>
      <c r="T14" s="968"/>
      <c r="U14" s="969"/>
      <c r="W14" s="13"/>
      <c r="X14" s="13"/>
    </row>
    <row r="15" spans="1:29" s="3" customFormat="1" ht="15" customHeight="1" x14ac:dyDescent="0.2">
      <c r="A15" s="617"/>
      <c r="B15" s="59"/>
      <c r="C15" s="637"/>
      <c r="D15" s="637"/>
      <c r="E15" s="637"/>
      <c r="F15" s="637"/>
      <c r="G15" s="638"/>
      <c r="H15" s="66"/>
      <c r="I15" s="119"/>
      <c r="J15" s="231"/>
      <c r="K15" s="275"/>
      <c r="L15" s="958"/>
      <c r="M15" s="959"/>
      <c r="N15" s="960"/>
      <c r="O15" s="959"/>
      <c r="P15" s="960"/>
      <c r="Q15" s="959"/>
      <c r="R15" s="960"/>
      <c r="S15" s="959"/>
      <c r="T15" s="960"/>
      <c r="U15" s="961"/>
      <c r="W15" s="13"/>
      <c r="X15" s="13"/>
    </row>
    <row r="16" spans="1:29" s="3" customFormat="1" ht="15" customHeight="1" x14ac:dyDescent="0.2">
      <c r="A16" s="617"/>
      <c r="B16" s="963"/>
      <c r="C16" s="964"/>
      <c r="D16" s="964"/>
      <c r="E16" s="964"/>
      <c r="F16" s="964"/>
      <c r="G16" s="965"/>
      <c r="H16" s="63"/>
      <c r="I16" s="74"/>
      <c r="J16" s="273"/>
      <c r="K16" s="274"/>
      <c r="L16" s="932"/>
      <c r="M16" s="933"/>
      <c r="N16" s="934"/>
      <c r="O16" s="933"/>
      <c r="P16" s="934"/>
      <c r="Q16" s="933"/>
      <c r="R16" s="934"/>
      <c r="S16" s="933"/>
      <c r="T16" s="934"/>
      <c r="U16" s="941"/>
    </row>
    <row r="17" spans="1:24" s="3" customFormat="1" ht="15" customHeight="1" thickBot="1" x14ac:dyDescent="0.25">
      <c r="A17" s="617"/>
      <c r="B17" s="70"/>
      <c r="C17" s="735"/>
      <c r="D17" s="735"/>
      <c r="E17" s="735"/>
      <c r="F17" s="735"/>
      <c r="G17" s="736"/>
      <c r="H17" s="60"/>
      <c r="I17" s="78"/>
      <c r="J17" s="156"/>
      <c r="K17" s="276"/>
      <c r="L17" s="932"/>
      <c r="M17" s="933"/>
      <c r="N17" s="934"/>
      <c r="O17" s="933"/>
      <c r="P17" s="934"/>
      <c r="Q17" s="933"/>
      <c r="R17" s="934"/>
      <c r="S17" s="933"/>
      <c r="T17" s="934"/>
      <c r="U17" s="941"/>
      <c r="W17" s="13"/>
      <c r="X17" s="13"/>
    </row>
    <row r="18" spans="1:24" ht="15" customHeight="1" x14ac:dyDescent="0.2">
      <c r="A18" s="618"/>
      <c r="B18" s="970"/>
      <c r="C18" s="971"/>
      <c r="D18" s="971"/>
      <c r="E18" s="971"/>
      <c r="F18" s="971"/>
      <c r="G18" s="972"/>
      <c r="H18" s="54"/>
      <c r="I18" s="120"/>
      <c r="J18" s="234"/>
      <c r="K18" s="235"/>
      <c r="L18" s="973"/>
      <c r="M18" s="974"/>
      <c r="N18" s="489"/>
      <c r="O18" s="490"/>
      <c r="P18" s="489"/>
      <c r="Q18" s="490"/>
      <c r="R18" s="489"/>
      <c r="S18" s="490"/>
      <c r="T18" s="489"/>
      <c r="U18" s="985"/>
      <c r="W18" s="13"/>
      <c r="X18" s="13"/>
    </row>
    <row r="19" spans="1:24" ht="15" customHeight="1" x14ac:dyDescent="0.2">
      <c r="A19" s="619"/>
      <c r="B19" s="986"/>
      <c r="C19" s="987"/>
      <c r="D19" s="987"/>
      <c r="E19" s="987"/>
      <c r="F19" s="987"/>
      <c r="G19" s="988"/>
      <c r="H19" s="60"/>
      <c r="I19" s="119"/>
      <c r="J19" s="156"/>
      <c r="K19" s="52"/>
      <c r="L19" s="989"/>
      <c r="M19" s="990"/>
      <c r="N19" s="960"/>
      <c r="O19" s="959"/>
      <c r="P19" s="960"/>
      <c r="Q19" s="959"/>
      <c r="R19" s="960"/>
      <c r="S19" s="959"/>
      <c r="T19" s="960"/>
      <c r="U19" s="961"/>
    </row>
    <row r="20" spans="1:24" s="3" customFormat="1" ht="15" customHeight="1" x14ac:dyDescent="0.2">
      <c r="A20" s="619"/>
      <c r="B20" s="975"/>
      <c r="C20" s="976"/>
      <c r="D20" s="976"/>
      <c r="E20" s="976"/>
      <c r="F20" s="976"/>
      <c r="G20" s="977"/>
      <c r="H20" s="63"/>
      <c r="I20" s="74"/>
      <c r="J20" s="236"/>
      <c r="K20" s="237"/>
      <c r="L20" s="978"/>
      <c r="M20" s="979"/>
      <c r="N20" s="968"/>
      <c r="O20" s="967"/>
      <c r="P20" s="968"/>
      <c r="Q20" s="967"/>
      <c r="R20" s="968"/>
      <c r="S20" s="967"/>
      <c r="T20" s="968"/>
      <c r="U20" s="969"/>
    </row>
    <row r="21" spans="1:24" s="3" customFormat="1" ht="15" customHeight="1" thickBot="1" x14ac:dyDescent="0.25">
      <c r="A21" s="620"/>
      <c r="B21" s="980"/>
      <c r="C21" s="981"/>
      <c r="D21" s="981"/>
      <c r="E21" s="981"/>
      <c r="F21" s="981"/>
      <c r="G21" s="982"/>
      <c r="H21" s="75"/>
      <c r="I21" s="76"/>
      <c r="J21" s="238"/>
      <c r="K21" s="239"/>
      <c r="L21" s="983"/>
      <c r="M21" s="984"/>
      <c r="N21" s="650"/>
      <c r="O21" s="651"/>
      <c r="P21" s="650"/>
      <c r="Q21" s="651"/>
      <c r="R21" s="650"/>
      <c r="S21" s="651"/>
      <c r="T21" s="650"/>
      <c r="U21" s="737"/>
    </row>
    <row r="22" spans="1:24" s="3" customFormat="1" ht="15" customHeight="1" x14ac:dyDescent="0.2">
      <c r="A22" s="618" t="s">
        <v>0</v>
      </c>
      <c r="B22" s="642"/>
      <c r="C22" s="643"/>
      <c r="D22" s="643"/>
      <c r="E22" s="643"/>
      <c r="F22" s="643"/>
      <c r="G22" s="644"/>
      <c r="H22" s="54"/>
      <c r="I22" s="120"/>
      <c r="J22" s="234"/>
      <c r="K22" s="235"/>
      <c r="L22" s="995"/>
      <c r="M22" s="996"/>
      <c r="N22" s="996"/>
      <c r="O22" s="996"/>
      <c r="P22" s="996"/>
      <c r="Q22" s="996"/>
      <c r="R22" s="996"/>
      <c r="S22" s="996"/>
      <c r="T22" s="996"/>
      <c r="U22" s="997"/>
    </row>
    <row r="23" spans="1:24" s="3" customFormat="1" ht="15" customHeight="1" thickBot="1" x14ac:dyDescent="0.25">
      <c r="A23" s="619"/>
      <c r="B23" s="636"/>
      <c r="C23" s="637"/>
      <c r="D23" s="637"/>
      <c r="E23" s="637"/>
      <c r="F23" s="637"/>
      <c r="G23" s="638"/>
      <c r="H23" s="60"/>
      <c r="I23" s="157"/>
      <c r="J23" s="156"/>
      <c r="K23" s="52"/>
      <c r="L23" s="998"/>
      <c r="M23" s="999"/>
      <c r="N23" s="999"/>
      <c r="O23" s="999"/>
      <c r="P23" s="999"/>
      <c r="Q23" s="999"/>
      <c r="R23" s="999"/>
      <c r="S23" s="999"/>
      <c r="T23" s="999"/>
      <c r="U23" s="1000"/>
    </row>
    <row r="24" spans="1:24" s="3" customFormat="1" ht="15" customHeight="1" thickTop="1" x14ac:dyDescent="0.2">
      <c r="A24" s="619"/>
      <c r="B24" s="639" t="s">
        <v>71</v>
      </c>
      <c r="C24" s="640"/>
      <c r="D24" s="640"/>
      <c r="E24" s="640"/>
      <c r="F24" s="640"/>
      <c r="G24" s="641"/>
      <c r="H24" s="63" t="s">
        <v>787</v>
      </c>
      <c r="I24" s="74" t="s">
        <v>115</v>
      </c>
      <c r="J24" s="236" t="s">
        <v>21</v>
      </c>
      <c r="K24" s="237">
        <v>1</v>
      </c>
      <c r="L24" s="966"/>
      <c r="M24" s="967"/>
      <c r="N24" s="968"/>
      <c r="O24" s="967"/>
      <c r="P24" s="968"/>
      <c r="Q24" s="967"/>
      <c r="R24" s="968"/>
      <c r="S24" s="967"/>
      <c r="T24" s="968"/>
      <c r="U24" s="969"/>
      <c r="W24" s="991" t="s">
        <v>120</v>
      </c>
      <c r="X24" s="992"/>
    </row>
    <row r="25" spans="1:24" s="3" customFormat="1" ht="15" customHeight="1" thickBot="1" x14ac:dyDescent="0.25">
      <c r="A25" s="619"/>
      <c r="B25" s="645" t="s">
        <v>116</v>
      </c>
      <c r="C25" s="646"/>
      <c r="D25" s="646"/>
      <c r="E25" s="646"/>
      <c r="F25" s="646"/>
      <c r="G25" s="647"/>
      <c r="H25" s="60"/>
      <c r="I25" s="78"/>
      <c r="J25" s="156"/>
      <c r="K25" s="52"/>
      <c r="L25" s="958"/>
      <c r="M25" s="959"/>
      <c r="N25" s="960"/>
      <c r="O25" s="959"/>
      <c r="P25" s="960"/>
      <c r="Q25" s="959"/>
      <c r="R25" s="960"/>
      <c r="S25" s="959"/>
      <c r="T25" s="960"/>
      <c r="U25" s="961"/>
      <c r="W25" s="993"/>
      <c r="X25" s="994"/>
    </row>
    <row r="26" spans="1:24" s="3" customFormat="1" ht="15" customHeight="1" thickTop="1" x14ac:dyDescent="0.2">
      <c r="A26" s="619"/>
      <c r="B26" s="639" t="s">
        <v>71</v>
      </c>
      <c r="C26" s="640"/>
      <c r="D26" s="640"/>
      <c r="E26" s="640"/>
      <c r="F26" s="640"/>
      <c r="G26" s="641"/>
      <c r="H26" s="63" t="s">
        <v>787</v>
      </c>
      <c r="I26" s="74" t="s">
        <v>118</v>
      </c>
      <c r="J26" s="236" t="s">
        <v>21</v>
      </c>
      <c r="K26" s="237">
        <v>1</v>
      </c>
      <c r="L26" s="966"/>
      <c r="M26" s="967"/>
      <c r="N26" s="968"/>
      <c r="O26" s="967"/>
      <c r="P26" s="968"/>
      <c r="Q26" s="967"/>
      <c r="R26" s="968"/>
      <c r="S26" s="967"/>
      <c r="T26" s="968"/>
      <c r="U26" s="969"/>
      <c r="W26" s="1001" t="s">
        <v>127</v>
      </c>
      <c r="X26" s="1002"/>
    </row>
    <row r="27" spans="1:24" s="3" customFormat="1" ht="15" customHeight="1" thickBot="1" x14ac:dyDescent="0.25">
      <c r="A27" s="619"/>
      <c r="B27" s="636" t="s">
        <v>119</v>
      </c>
      <c r="C27" s="637"/>
      <c r="D27" s="637"/>
      <c r="E27" s="637"/>
      <c r="F27" s="637"/>
      <c r="G27" s="638"/>
      <c r="H27" s="60"/>
      <c r="I27" s="78"/>
      <c r="J27" s="156"/>
      <c r="K27" s="52"/>
      <c r="L27" s="958"/>
      <c r="M27" s="959"/>
      <c r="N27" s="960"/>
      <c r="O27" s="959"/>
      <c r="P27" s="960"/>
      <c r="Q27" s="959"/>
      <c r="R27" s="960"/>
      <c r="S27" s="959"/>
      <c r="T27" s="960"/>
      <c r="U27" s="961"/>
      <c r="W27" s="1003"/>
      <c r="X27" s="1004"/>
    </row>
    <row r="28" spans="1:24" s="3" customFormat="1" ht="15" customHeight="1" thickTop="1" x14ac:dyDescent="0.2">
      <c r="A28" s="619"/>
      <c r="B28" s="639" t="s">
        <v>71</v>
      </c>
      <c r="C28" s="640"/>
      <c r="D28" s="640"/>
      <c r="E28" s="640"/>
      <c r="F28" s="640"/>
      <c r="G28" s="641"/>
      <c r="H28" s="63" t="s">
        <v>787</v>
      </c>
      <c r="I28" s="74" t="s">
        <v>117</v>
      </c>
      <c r="J28" s="236" t="s">
        <v>21</v>
      </c>
      <c r="K28" s="237">
        <v>1</v>
      </c>
      <c r="L28" s="966"/>
      <c r="M28" s="967"/>
      <c r="N28" s="968"/>
      <c r="O28" s="967"/>
      <c r="P28" s="968"/>
      <c r="Q28" s="967"/>
      <c r="R28" s="968"/>
      <c r="S28" s="967"/>
      <c r="T28" s="968"/>
      <c r="U28" s="969"/>
      <c r="W28" s="1005" t="s">
        <v>611</v>
      </c>
      <c r="X28" s="1006"/>
    </row>
    <row r="29" spans="1:24" s="3" customFormat="1" ht="15" customHeight="1" thickBot="1" x14ac:dyDescent="0.25">
      <c r="A29" s="619"/>
      <c r="B29" s="636" t="s">
        <v>113</v>
      </c>
      <c r="C29" s="637"/>
      <c r="D29" s="637"/>
      <c r="E29" s="637"/>
      <c r="F29" s="637"/>
      <c r="G29" s="638"/>
      <c r="H29" s="66"/>
      <c r="I29" s="119"/>
      <c r="J29" s="242"/>
      <c r="K29" s="243"/>
      <c r="L29" s="958"/>
      <c r="M29" s="959"/>
      <c r="N29" s="960"/>
      <c r="O29" s="959"/>
      <c r="P29" s="960"/>
      <c r="Q29" s="959"/>
      <c r="R29" s="960"/>
      <c r="S29" s="959"/>
      <c r="T29" s="960"/>
      <c r="U29" s="961"/>
      <c r="W29" s="1007"/>
      <c r="X29" s="1008"/>
    </row>
    <row r="30" spans="1:24" s="3" customFormat="1" ht="15" customHeight="1" thickTop="1" x14ac:dyDescent="0.2">
      <c r="A30" s="619"/>
      <c r="B30" s="639" t="s">
        <v>71</v>
      </c>
      <c r="C30" s="640"/>
      <c r="D30" s="640"/>
      <c r="E30" s="640"/>
      <c r="F30" s="640"/>
      <c r="G30" s="641"/>
      <c r="H30" s="63" t="s">
        <v>787</v>
      </c>
      <c r="I30" s="74" t="s">
        <v>696</v>
      </c>
      <c r="J30" s="236" t="s">
        <v>21</v>
      </c>
      <c r="K30" s="237">
        <v>1</v>
      </c>
      <c r="L30" s="966"/>
      <c r="M30" s="967"/>
      <c r="N30" s="968"/>
      <c r="O30" s="967"/>
      <c r="P30" s="968"/>
      <c r="Q30" s="967"/>
      <c r="R30" s="968"/>
      <c r="S30" s="967"/>
      <c r="T30" s="968"/>
      <c r="U30" s="969"/>
      <c r="W30" s="1009" t="s">
        <v>126</v>
      </c>
      <c r="X30" s="1010"/>
    </row>
    <row r="31" spans="1:24" s="3" customFormat="1" ht="15" customHeight="1" thickBot="1" x14ac:dyDescent="0.25">
      <c r="A31" s="619"/>
      <c r="B31" s="636" t="s">
        <v>610</v>
      </c>
      <c r="C31" s="637"/>
      <c r="D31" s="637"/>
      <c r="E31" s="637"/>
      <c r="F31" s="637"/>
      <c r="G31" s="638"/>
      <c r="H31" s="66"/>
      <c r="I31" s="119"/>
      <c r="J31" s="242"/>
      <c r="K31" s="243"/>
      <c r="L31" s="958"/>
      <c r="M31" s="959"/>
      <c r="N31" s="960"/>
      <c r="O31" s="959"/>
      <c r="P31" s="960"/>
      <c r="Q31" s="959"/>
      <c r="R31" s="960"/>
      <c r="S31" s="959"/>
      <c r="T31" s="960"/>
      <c r="U31" s="961"/>
      <c r="W31" s="1011"/>
      <c r="X31" s="1012"/>
    </row>
    <row r="32" spans="1:24" s="3" customFormat="1" ht="15" customHeight="1" thickTop="1" x14ac:dyDescent="0.2">
      <c r="A32" s="619"/>
      <c r="B32" s="639" t="s">
        <v>71</v>
      </c>
      <c r="C32" s="640"/>
      <c r="D32" s="640"/>
      <c r="E32" s="640"/>
      <c r="F32" s="640"/>
      <c r="G32" s="641"/>
      <c r="H32" s="63" t="s">
        <v>787</v>
      </c>
      <c r="I32" s="158" t="s">
        <v>697</v>
      </c>
      <c r="J32" s="269">
        <v>1</v>
      </c>
      <c r="K32" s="270">
        <v>1</v>
      </c>
      <c r="L32" s="966"/>
      <c r="M32" s="967"/>
      <c r="N32" s="968"/>
      <c r="O32" s="967"/>
      <c r="P32" s="968"/>
      <c r="Q32" s="967"/>
      <c r="R32" s="968"/>
      <c r="S32" s="967"/>
      <c r="T32" s="968"/>
      <c r="U32" s="969"/>
      <c r="W32" s="1009" t="s">
        <v>699</v>
      </c>
      <c r="X32" s="1010"/>
    </row>
    <row r="33" spans="1:24" s="3" customFormat="1" ht="15" customHeight="1" thickBot="1" x14ac:dyDescent="0.25">
      <c r="A33" s="619"/>
      <c r="B33" s="645" t="s">
        <v>698</v>
      </c>
      <c r="C33" s="646"/>
      <c r="D33" s="646"/>
      <c r="E33" s="646"/>
      <c r="F33" s="646"/>
      <c r="G33" s="647"/>
      <c r="H33" s="159"/>
      <c r="I33" s="129"/>
      <c r="J33" s="271"/>
      <c r="K33" s="272"/>
      <c r="L33" s="958"/>
      <c r="M33" s="959"/>
      <c r="N33" s="960"/>
      <c r="O33" s="959"/>
      <c r="P33" s="960"/>
      <c r="Q33" s="959"/>
      <c r="R33" s="960"/>
      <c r="S33" s="959"/>
      <c r="T33" s="960"/>
      <c r="U33" s="961"/>
      <c r="W33" s="1011"/>
      <c r="X33" s="1012"/>
    </row>
    <row r="34" spans="1:24" s="3" customFormat="1" ht="15" customHeight="1" thickTop="1" x14ac:dyDescent="0.2">
      <c r="A34" s="619"/>
      <c r="B34" s="639" t="s">
        <v>71</v>
      </c>
      <c r="C34" s="640"/>
      <c r="D34" s="640"/>
      <c r="E34" s="640"/>
      <c r="F34" s="640"/>
      <c r="G34" s="641"/>
      <c r="H34" s="63" t="s">
        <v>787</v>
      </c>
      <c r="I34" s="158" t="s">
        <v>72</v>
      </c>
      <c r="J34" s="269">
        <v>1</v>
      </c>
      <c r="K34" s="270">
        <v>1</v>
      </c>
      <c r="L34" s="966"/>
      <c r="M34" s="967"/>
      <c r="N34" s="968"/>
      <c r="O34" s="967"/>
      <c r="P34" s="968"/>
      <c r="Q34" s="967"/>
      <c r="R34" s="968"/>
      <c r="S34" s="967"/>
      <c r="T34" s="968"/>
      <c r="U34" s="969"/>
      <c r="W34" s="1013" t="s">
        <v>121</v>
      </c>
      <c r="X34" s="1014"/>
    </row>
    <row r="35" spans="1:24" s="3" customFormat="1" ht="15" customHeight="1" thickBot="1" x14ac:dyDescent="0.25">
      <c r="A35" s="619"/>
      <c r="B35" s="645" t="s">
        <v>114</v>
      </c>
      <c r="C35" s="646"/>
      <c r="D35" s="646"/>
      <c r="E35" s="646"/>
      <c r="F35" s="646"/>
      <c r="G35" s="647"/>
      <c r="H35" s="159"/>
      <c r="I35" s="129"/>
      <c r="J35" s="271"/>
      <c r="K35" s="272"/>
      <c r="L35" s="958"/>
      <c r="M35" s="959"/>
      <c r="N35" s="960"/>
      <c r="O35" s="959"/>
      <c r="P35" s="960"/>
      <c r="Q35" s="959"/>
      <c r="R35" s="960"/>
      <c r="S35" s="959"/>
      <c r="T35" s="960"/>
      <c r="U35" s="961"/>
      <c r="W35" s="1015"/>
      <c r="X35" s="1016"/>
    </row>
    <row r="36" spans="1:24" s="3" customFormat="1" ht="15" customHeight="1" thickTop="1" x14ac:dyDescent="0.2">
      <c r="A36" s="619"/>
      <c r="B36" s="639" t="s">
        <v>71</v>
      </c>
      <c r="C36" s="640"/>
      <c r="D36" s="640"/>
      <c r="E36" s="640"/>
      <c r="F36" s="640"/>
      <c r="G36" s="641"/>
      <c r="H36" s="63" t="s">
        <v>787</v>
      </c>
      <c r="I36" s="158" t="s">
        <v>124</v>
      </c>
      <c r="J36" s="269">
        <v>1</v>
      </c>
      <c r="K36" s="270">
        <v>1</v>
      </c>
      <c r="L36" s="966"/>
      <c r="M36" s="967"/>
      <c r="N36" s="968"/>
      <c r="O36" s="967"/>
      <c r="P36" s="968"/>
      <c r="Q36" s="967"/>
      <c r="R36" s="968"/>
      <c r="S36" s="967"/>
      <c r="T36" s="968"/>
      <c r="U36" s="969"/>
      <c r="W36" s="1017" t="s">
        <v>123</v>
      </c>
      <c r="X36" s="1018"/>
    </row>
    <row r="37" spans="1:24" s="3" customFormat="1" ht="15" customHeight="1" thickBot="1" x14ac:dyDescent="0.25">
      <c r="A37" s="619"/>
      <c r="B37" s="645" t="s">
        <v>122</v>
      </c>
      <c r="C37" s="646"/>
      <c r="D37" s="646"/>
      <c r="E37" s="646"/>
      <c r="F37" s="646"/>
      <c r="G37" s="647"/>
      <c r="H37" s="159"/>
      <c r="I37" s="129"/>
      <c r="J37" s="271"/>
      <c r="K37" s="243"/>
      <c r="L37" s="958"/>
      <c r="M37" s="959"/>
      <c r="N37" s="960"/>
      <c r="O37" s="959"/>
      <c r="P37" s="960"/>
      <c r="Q37" s="959"/>
      <c r="R37" s="960"/>
      <c r="S37" s="959"/>
      <c r="T37" s="960"/>
      <c r="U37" s="961"/>
      <c r="W37" s="1019"/>
      <c r="X37" s="1020"/>
    </row>
    <row r="38" spans="1:24" s="3" customFormat="1" ht="15" customHeight="1" thickTop="1" x14ac:dyDescent="0.2">
      <c r="A38" s="619"/>
      <c r="B38" s="633" t="s">
        <v>71</v>
      </c>
      <c r="C38" s="634"/>
      <c r="D38" s="634"/>
      <c r="E38" s="634"/>
      <c r="F38" s="634"/>
      <c r="G38" s="635"/>
      <c r="H38" s="63" t="s">
        <v>787</v>
      </c>
      <c r="I38" s="158" t="s">
        <v>280</v>
      </c>
      <c r="J38" s="269">
        <v>1</v>
      </c>
      <c r="K38" s="270">
        <v>1</v>
      </c>
      <c r="L38" s="966"/>
      <c r="M38" s="967"/>
      <c r="N38" s="968"/>
      <c r="O38" s="967"/>
      <c r="P38" s="968"/>
      <c r="Q38" s="967"/>
      <c r="R38" s="968"/>
      <c r="S38" s="967"/>
      <c r="T38" s="968"/>
      <c r="U38" s="969"/>
      <c r="W38" s="1021" t="s">
        <v>128</v>
      </c>
      <c r="X38" s="1022"/>
    </row>
    <row r="39" spans="1:24" s="3" customFormat="1" ht="15" customHeight="1" thickBot="1" x14ac:dyDescent="0.25">
      <c r="A39" s="619"/>
      <c r="B39" s="636" t="s">
        <v>282</v>
      </c>
      <c r="C39" s="637"/>
      <c r="D39" s="637"/>
      <c r="E39" s="637"/>
      <c r="F39" s="637"/>
      <c r="G39" s="638"/>
      <c r="H39" s="159"/>
      <c r="I39" s="129"/>
      <c r="J39" s="271"/>
      <c r="K39" s="272"/>
      <c r="L39" s="958"/>
      <c r="M39" s="959"/>
      <c r="N39" s="960"/>
      <c r="O39" s="959"/>
      <c r="P39" s="960"/>
      <c r="Q39" s="959"/>
      <c r="R39" s="960"/>
      <c r="S39" s="959"/>
      <c r="T39" s="960"/>
      <c r="U39" s="961"/>
      <c r="W39" s="1023"/>
      <c r="X39" s="1024"/>
    </row>
    <row r="40" spans="1:24" s="3" customFormat="1" ht="15" customHeight="1" thickTop="1" x14ac:dyDescent="0.2">
      <c r="A40" s="619"/>
      <c r="B40" s="639" t="s">
        <v>71</v>
      </c>
      <c r="C40" s="640"/>
      <c r="D40" s="640"/>
      <c r="E40" s="640"/>
      <c r="F40" s="640"/>
      <c r="G40" s="641"/>
      <c r="H40" s="63" t="s">
        <v>787</v>
      </c>
      <c r="I40" s="158" t="s">
        <v>281</v>
      </c>
      <c r="J40" s="269">
        <v>1</v>
      </c>
      <c r="K40" s="270">
        <v>1</v>
      </c>
      <c r="L40" s="966"/>
      <c r="M40" s="967"/>
      <c r="N40" s="968"/>
      <c r="O40" s="967"/>
      <c r="P40" s="968"/>
      <c r="Q40" s="967"/>
      <c r="R40" s="968"/>
      <c r="S40" s="967"/>
      <c r="T40" s="968"/>
      <c r="U40" s="969"/>
      <c r="W40" s="1025" t="s">
        <v>129</v>
      </c>
      <c r="X40" s="1026"/>
    </row>
    <row r="41" spans="1:24" s="3" customFormat="1" ht="15" customHeight="1" thickBot="1" x14ac:dyDescent="0.25">
      <c r="A41" s="619"/>
      <c r="B41" s="636" t="s">
        <v>283</v>
      </c>
      <c r="C41" s="637"/>
      <c r="D41" s="637"/>
      <c r="E41" s="637"/>
      <c r="F41" s="637"/>
      <c r="G41" s="638"/>
      <c r="H41" s="159"/>
      <c r="I41" s="129"/>
      <c r="J41" s="271"/>
      <c r="K41" s="272"/>
      <c r="L41" s="958"/>
      <c r="M41" s="959"/>
      <c r="N41" s="960"/>
      <c r="O41" s="959"/>
      <c r="P41" s="960"/>
      <c r="Q41" s="959"/>
      <c r="R41" s="960"/>
      <c r="S41" s="959"/>
      <c r="T41" s="960"/>
      <c r="U41" s="961"/>
      <c r="W41" s="1027"/>
      <c r="X41" s="1028"/>
    </row>
    <row r="42" spans="1:24" s="3" customFormat="1" ht="15" customHeight="1" thickTop="1" x14ac:dyDescent="0.2">
      <c r="A42" s="619"/>
      <c r="B42" s="476" t="s">
        <v>37</v>
      </c>
      <c r="C42" s="477"/>
      <c r="D42" s="477"/>
      <c r="E42" s="477"/>
      <c r="F42" s="477"/>
      <c r="G42" s="478"/>
      <c r="H42" s="79" t="s">
        <v>788</v>
      </c>
      <c r="I42" s="80" t="s">
        <v>19</v>
      </c>
      <c r="J42" s="263"/>
      <c r="K42" s="264"/>
      <c r="L42" s="660" t="s">
        <v>751</v>
      </c>
      <c r="M42" s="473"/>
      <c r="N42" s="689" t="s">
        <v>751</v>
      </c>
      <c r="O42" s="492"/>
      <c r="P42" s="689" t="s">
        <v>751</v>
      </c>
      <c r="Q42" s="492"/>
      <c r="R42" s="689" t="s">
        <v>751</v>
      </c>
      <c r="S42" s="492"/>
      <c r="T42" s="689" t="s">
        <v>751</v>
      </c>
      <c r="U42" s="690"/>
      <c r="W42" s="1129" t="s">
        <v>149</v>
      </c>
      <c r="X42" s="1130"/>
    </row>
    <row r="43" spans="1:24" s="3" customFormat="1" ht="15" customHeight="1" thickBot="1" x14ac:dyDescent="0.25">
      <c r="A43" s="619"/>
      <c r="B43" s="482" t="s">
        <v>38</v>
      </c>
      <c r="C43" s="483"/>
      <c r="D43" s="483"/>
      <c r="E43" s="483"/>
      <c r="F43" s="483"/>
      <c r="G43" s="484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31"/>
      <c r="X43" s="1132"/>
    </row>
    <row r="44" spans="1:24" s="3" customFormat="1" ht="15" customHeight="1" x14ac:dyDescent="0.2">
      <c r="A44" s="619"/>
      <c r="B44" s="707"/>
      <c r="C44" s="708"/>
      <c r="D44" s="708"/>
      <c r="E44" s="708"/>
      <c r="F44" s="708"/>
      <c r="G44" s="709"/>
      <c r="H44" s="668" t="s">
        <v>36</v>
      </c>
      <c r="I44" s="669"/>
      <c r="J44" s="669"/>
      <c r="K44" s="670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31"/>
      <c r="X44" s="1132"/>
    </row>
    <row r="45" spans="1:24" s="3" customFormat="1" ht="15" customHeight="1" x14ac:dyDescent="0.2">
      <c r="A45" s="619"/>
      <c r="B45" s="695"/>
      <c r="C45" s="696"/>
      <c r="D45" s="696"/>
      <c r="E45" s="696"/>
      <c r="F45" s="696"/>
      <c r="G45" s="697"/>
      <c r="H45" s="692" t="s">
        <v>40</v>
      </c>
      <c r="I45" s="693"/>
      <c r="J45" s="693"/>
      <c r="K45" s="69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31"/>
      <c r="X45" s="1132"/>
    </row>
    <row r="46" spans="1:24" s="3" customFormat="1" ht="15" customHeight="1" x14ac:dyDescent="0.2">
      <c r="A46" s="619"/>
      <c r="B46" s="476" t="s">
        <v>37</v>
      </c>
      <c r="C46" s="477"/>
      <c r="D46" s="477"/>
      <c r="E46" s="477"/>
      <c r="F46" s="477"/>
      <c r="G46" s="478"/>
      <c r="H46" s="63" t="s">
        <v>788</v>
      </c>
      <c r="I46" s="80" t="s">
        <v>18</v>
      </c>
      <c r="J46" s="263"/>
      <c r="K46" s="264"/>
      <c r="L46" s="660" t="s">
        <v>751</v>
      </c>
      <c r="M46" s="473"/>
      <c r="N46" s="689" t="s">
        <v>751</v>
      </c>
      <c r="O46" s="492"/>
      <c r="P46" s="689" t="s">
        <v>751</v>
      </c>
      <c r="Q46" s="492"/>
      <c r="R46" s="689" t="s">
        <v>751</v>
      </c>
      <c r="S46" s="492"/>
      <c r="T46" s="689" t="s">
        <v>751</v>
      </c>
      <c r="U46" s="690"/>
      <c r="W46" s="1035" t="s">
        <v>150</v>
      </c>
      <c r="X46" s="1036"/>
    </row>
    <row r="47" spans="1:24" s="3" customFormat="1" ht="15" customHeight="1" thickBot="1" x14ac:dyDescent="0.25">
      <c r="A47" s="619"/>
      <c r="B47" s="482" t="s">
        <v>39</v>
      </c>
      <c r="C47" s="483"/>
      <c r="D47" s="483"/>
      <c r="E47" s="483"/>
      <c r="F47" s="483"/>
      <c r="G47" s="484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1035"/>
      <c r="X47" s="1036"/>
    </row>
    <row r="48" spans="1:24" s="3" customFormat="1" ht="15" customHeight="1" x14ac:dyDescent="0.2">
      <c r="A48" s="619"/>
      <c r="B48" s="707"/>
      <c r="C48" s="708"/>
      <c r="D48" s="708"/>
      <c r="E48" s="708"/>
      <c r="F48" s="708"/>
      <c r="G48" s="709"/>
      <c r="H48" s="669" t="s">
        <v>36</v>
      </c>
      <c r="I48" s="669"/>
      <c r="J48" s="669"/>
      <c r="K48" s="670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1035"/>
      <c r="X48" s="1036"/>
    </row>
    <row r="49" spans="1:28" s="3" customFormat="1" ht="15" customHeight="1" x14ac:dyDescent="0.2">
      <c r="A49" s="619"/>
      <c r="B49" s="695"/>
      <c r="C49" s="696"/>
      <c r="D49" s="696"/>
      <c r="E49" s="696"/>
      <c r="F49" s="696"/>
      <c r="G49" s="697"/>
      <c r="H49" s="693" t="s">
        <v>40</v>
      </c>
      <c r="I49" s="693"/>
      <c r="J49" s="693"/>
      <c r="K49" s="69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1035"/>
      <c r="X49" s="1036"/>
    </row>
    <row r="50" spans="1:28" s="3" customFormat="1" ht="15" customHeight="1" x14ac:dyDescent="0.2">
      <c r="A50" s="619"/>
      <c r="B50" s="476" t="s">
        <v>37</v>
      </c>
      <c r="C50" s="477"/>
      <c r="D50" s="477"/>
      <c r="E50" s="477"/>
      <c r="F50" s="477"/>
      <c r="G50" s="478"/>
      <c r="H50" s="79" t="s">
        <v>788</v>
      </c>
      <c r="I50" s="172" t="s">
        <v>160</v>
      </c>
      <c r="J50" s="263"/>
      <c r="K50" s="264"/>
      <c r="L50" s="660" t="s">
        <v>751</v>
      </c>
      <c r="M50" s="473"/>
      <c r="N50" s="689" t="s">
        <v>751</v>
      </c>
      <c r="O50" s="492"/>
      <c r="P50" s="689" t="s">
        <v>751</v>
      </c>
      <c r="Q50" s="492"/>
      <c r="R50" s="689" t="s">
        <v>751</v>
      </c>
      <c r="S50" s="492"/>
      <c r="T50" s="689" t="s">
        <v>751</v>
      </c>
      <c r="U50" s="690"/>
      <c r="W50" s="1052" t="s">
        <v>159</v>
      </c>
      <c r="X50" s="1053"/>
    </row>
    <row r="51" spans="1:28" s="3" customFormat="1" ht="15" customHeight="1" x14ac:dyDescent="0.2">
      <c r="A51" s="619"/>
      <c r="B51" s="1133" t="s">
        <v>717</v>
      </c>
      <c r="C51" s="1134"/>
      <c r="D51" s="1134"/>
      <c r="E51" s="1134"/>
      <c r="F51" s="1134"/>
      <c r="G51" s="1135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052"/>
      <c r="X51" s="1053"/>
    </row>
    <row r="52" spans="1:28" s="3" customFormat="1" ht="15" customHeight="1" x14ac:dyDescent="0.2">
      <c r="A52" s="619"/>
      <c r="B52" s="493"/>
      <c r="C52" s="494"/>
      <c r="D52" s="494"/>
      <c r="E52" s="494"/>
      <c r="F52" s="494"/>
      <c r="G52" s="495"/>
      <c r="H52" s="485" t="s">
        <v>161</v>
      </c>
      <c r="I52" s="485"/>
      <c r="J52" s="485"/>
      <c r="K52" s="486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1052"/>
      <c r="X52" s="1053"/>
    </row>
    <row r="53" spans="1:28" s="3" customFormat="1" ht="15" customHeight="1" x14ac:dyDescent="0.2">
      <c r="A53" s="619"/>
      <c r="B53" s="496"/>
      <c r="C53" s="497"/>
      <c r="D53" s="497"/>
      <c r="E53" s="497"/>
      <c r="F53" s="497"/>
      <c r="G53" s="498"/>
      <c r="H53" s="487" t="s">
        <v>40</v>
      </c>
      <c r="I53" s="487"/>
      <c r="J53" s="487"/>
      <c r="K53" s="488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1052"/>
      <c r="X53" s="1053"/>
    </row>
    <row r="54" spans="1:28" s="3" customFormat="1" ht="15" customHeight="1" x14ac:dyDescent="0.2">
      <c r="A54" s="619"/>
      <c r="B54" s="476" t="s">
        <v>37</v>
      </c>
      <c r="C54" s="477"/>
      <c r="D54" s="477"/>
      <c r="E54" s="477"/>
      <c r="F54" s="477"/>
      <c r="G54" s="478"/>
      <c r="H54" s="79" t="s">
        <v>788</v>
      </c>
      <c r="I54" s="94" t="s">
        <v>10</v>
      </c>
      <c r="J54" s="263"/>
      <c r="K54" s="264"/>
      <c r="L54" s="660" t="s">
        <v>751</v>
      </c>
      <c r="M54" s="473"/>
      <c r="N54" s="689" t="s">
        <v>751</v>
      </c>
      <c r="O54" s="492"/>
      <c r="P54" s="689" t="s">
        <v>751</v>
      </c>
      <c r="Q54" s="492"/>
      <c r="R54" s="689" t="s">
        <v>751</v>
      </c>
      <c r="S54" s="492"/>
      <c r="T54" s="689" t="s">
        <v>751</v>
      </c>
      <c r="U54" s="690"/>
      <c r="W54" s="1039" t="s">
        <v>85</v>
      </c>
      <c r="X54" s="1040"/>
      <c r="AB54" s="9"/>
    </row>
    <row r="55" spans="1:28" s="3" customFormat="1" ht="15" customHeight="1" x14ac:dyDescent="0.2">
      <c r="A55" s="619"/>
      <c r="B55" s="474" t="s">
        <v>41</v>
      </c>
      <c r="C55" s="428"/>
      <c r="D55" s="428"/>
      <c r="E55" s="428"/>
      <c r="F55" s="428"/>
      <c r="G55" s="475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1039"/>
      <c r="X55" s="1040"/>
      <c r="AB55" s="9"/>
    </row>
    <row r="56" spans="1:28" s="3" customFormat="1" ht="15" customHeight="1" x14ac:dyDescent="0.2">
      <c r="A56" s="619"/>
      <c r="B56" s="493"/>
      <c r="C56" s="494"/>
      <c r="D56" s="494"/>
      <c r="E56" s="494"/>
      <c r="F56" s="494"/>
      <c r="G56" s="495"/>
      <c r="H56" s="485" t="s">
        <v>70</v>
      </c>
      <c r="I56" s="485"/>
      <c r="J56" s="485"/>
      <c r="K56" s="486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1039"/>
      <c r="X56" s="1040"/>
    </row>
    <row r="57" spans="1:28" s="3" customFormat="1" ht="15" customHeight="1" thickBot="1" x14ac:dyDescent="0.25">
      <c r="A57" s="619"/>
      <c r="B57" s="496"/>
      <c r="C57" s="497"/>
      <c r="D57" s="497"/>
      <c r="E57" s="497"/>
      <c r="F57" s="497"/>
      <c r="G57" s="498"/>
      <c r="H57" s="487" t="s">
        <v>40</v>
      </c>
      <c r="I57" s="487"/>
      <c r="J57" s="487"/>
      <c r="K57" s="488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1039"/>
      <c r="X57" s="1040"/>
    </row>
    <row r="58" spans="1:28" s="3" customFormat="1" ht="15" customHeight="1" thickTop="1" x14ac:dyDescent="0.2">
      <c r="A58" s="619"/>
      <c r="B58" s="476" t="s">
        <v>37</v>
      </c>
      <c r="C58" s="477"/>
      <c r="D58" s="477"/>
      <c r="E58" s="477"/>
      <c r="F58" s="477"/>
      <c r="G58" s="478"/>
      <c r="H58" s="79" t="s">
        <v>788</v>
      </c>
      <c r="I58" s="94" t="s">
        <v>10</v>
      </c>
      <c r="J58" s="263"/>
      <c r="K58" s="264"/>
      <c r="L58" s="660" t="s">
        <v>751</v>
      </c>
      <c r="M58" s="473"/>
      <c r="N58" s="689" t="s">
        <v>751</v>
      </c>
      <c r="O58" s="492"/>
      <c r="P58" s="689" t="s">
        <v>751</v>
      </c>
      <c r="Q58" s="492"/>
      <c r="R58" s="689" t="s">
        <v>751</v>
      </c>
      <c r="S58" s="492"/>
      <c r="T58" s="689" t="s">
        <v>751</v>
      </c>
      <c r="U58" s="690"/>
      <c r="W58" s="1041" t="s">
        <v>86</v>
      </c>
      <c r="X58" s="1042"/>
    </row>
    <row r="59" spans="1:28" s="3" customFormat="1" ht="15" customHeight="1" x14ac:dyDescent="0.2">
      <c r="A59" s="619"/>
      <c r="B59" s="474" t="s">
        <v>41</v>
      </c>
      <c r="C59" s="428"/>
      <c r="D59" s="428"/>
      <c r="E59" s="428"/>
      <c r="F59" s="428"/>
      <c r="G59" s="475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043"/>
      <c r="X59" s="1044"/>
    </row>
    <row r="60" spans="1:28" s="3" customFormat="1" ht="15" customHeight="1" x14ac:dyDescent="0.2">
      <c r="A60" s="619"/>
      <c r="B60" s="493"/>
      <c r="C60" s="494"/>
      <c r="D60" s="494"/>
      <c r="E60" s="494"/>
      <c r="F60" s="494"/>
      <c r="G60" s="495"/>
      <c r="H60" s="485" t="s">
        <v>786</v>
      </c>
      <c r="I60" s="485"/>
      <c r="J60" s="485"/>
      <c r="K60" s="486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1043"/>
      <c r="X60" s="1044"/>
    </row>
    <row r="61" spans="1:28" s="3" customFormat="1" ht="15" customHeight="1" thickBot="1" x14ac:dyDescent="0.25">
      <c r="A61" s="619"/>
      <c r="B61" s="496"/>
      <c r="C61" s="497"/>
      <c r="D61" s="497"/>
      <c r="E61" s="497"/>
      <c r="F61" s="497"/>
      <c r="G61" s="498"/>
      <c r="H61" s="487" t="s">
        <v>40</v>
      </c>
      <c r="I61" s="487"/>
      <c r="J61" s="487"/>
      <c r="K61" s="488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1045"/>
      <c r="X61" s="1046"/>
    </row>
    <row r="62" spans="1:28" s="3" customFormat="1" ht="15" customHeight="1" thickTop="1" x14ac:dyDescent="0.2">
      <c r="A62" s="619"/>
      <c r="B62" s="476" t="s">
        <v>45</v>
      </c>
      <c r="C62" s="477"/>
      <c r="D62" s="477"/>
      <c r="E62" s="477"/>
      <c r="F62" s="477"/>
      <c r="G62" s="478"/>
      <c r="H62" s="63" t="s">
        <v>789</v>
      </c>
      <c r="I62" s="94" t="s">
        <v>10</v>
      </c>
      <c r="J62" s="263"/>
      <c r="K62" s="264"/>
      <c r="L62" s="491" t="s">
        <v>750</v>
      </c>
      <c r="M62" s="492"/>
      <c r="N62" s="472"/>
      <c r="O62" s="473"/>
      <c r="P62" s="472"/>
      <c r="Q62" s="473"/>
      <c r="R62" s="472"/>
      <c r="S62" s="473"/>
      <c r="T62" s="472"/>
      <c r="U62" s="662"/>
      <c r="W62" s="1033" t="s">
        <v>87</v>
      </c>
      <c r="X62" s="1034"/>
      <c r="Y62" s="10"/>
      <c r="Z62" s="10"/>
      <c r="AA62" s="10"/>
    </row>
    <row r="63" spans="1:28" s="3" customFormat="1" ht="15" customHeight="1" x14ac:dyDescent="0.2">
      <c r="A63" s="619"/>
      <c r="B63" s="1047" t="s">
        <v>41</v>
      </c>
      <c r="C63" s="1048"/>
      <c r="D63" s="1048"/>
      <c r="E63" s="1048"/>
      <c r="F63" s="1048"/>
      <c r="G63" s="1049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035"/>
      <c r="X63" s="1036"/>
      <c r="Y63" s="10"/>
      <c r="Z63" s="10"/>
      <c r="AA63" s="10"/>
    </row>
    <row r="64" spans="1:28" s="3" customFormat="1" ht="15" customHeight="1" x14ac:dyDescent="0.2">
      <c r="A64" s="619"/>
      <c r="B64" s="493"/>
      <c r="C64" s="494"/>
      <c r="D64" s="494"/>
      <c r="E64" s="494"/>
      <c r="F64" s="494"/>
      <c r="G64" s="495"/>
      <c r="H64" s="485" t="s">
        <v>70</v>
      </c>
      <c r="I64" s="485"/>
      <c r="J64" s="485"/>
      <c r="K64" s="486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1035"/>
      <c r="X64" s="1036"/>
      <c r="Y64" s="10"/>
      <c r="AA64" s="10"/>
    </row>
    <row r="65" spans="1:27" s="3" customFormat="1" ht="15" customHeight="1" thickBot="1" x14ac:dyDescent="0.25">
      <c r="A65" s="619"/>
      <c r="B65" s="496"/>
      <c r="C65" s="497"/>
      <c r="D65" s="497"/>
      <c r="E65" s="497"/>
      <c r="F65" s="497"/>
      <c r="G65" s="498"/>
      <c r="H65" s="487" t="s">
        <v>40</v>
      </c>
      <c r="I65" s="487"/>
      <c r="J65" s="487"/>
      <c r="K65" s="488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1037"/>
      <c r="X65" s="1038"/>
      <c r="Y65" s="10"/>
      <c r="AA65" s="10"/>
    </row>
    <row r="66" spans="1:27" s="3" customFormat="1" ht="15" customHeight="1" thickTop="1" x14ac:dyDescent="0.2">
      <c r="A66" s="619"/>
      <c r="B66" s="476" t="s">
        <v>45</v>
      </c>
      <c r="C66" s="477"/>
      <c r="D66" s="477"/>
      <c r="E66" s="477"/>
      <c r="F66" s="477"/>
      <c r="G66" s="478"/>
      <c r="H66" s="63" t="s">
        <v>789</v>
      </c>
      <c r="I66" s="94" t="s">
        <v>10</v>
      </c>
      <c r="J66" s="263"/>
      <c r="K66" s="264"/>
      <c r="L66" s="491" t="s">
        <v>750</v>
      </c>
      <c r="M66" s="492"/>
      <c r="N66" s="472"/>
      <c r="O66" s="473"/>
      <c r="P66" s="472"/>
      <c r="Q66" s="473"/>
      <c r="R66" s="472"/>
      <c r="S66" s="473"/>
      <c r="T66" s="472"/>
      <c r="U66" s="662"/>
      <c r="W66" s="1050" t="s">
        <v>88</v>
      </c>
      <c r="X66" s="1051"/>
      <c r="Y66" s="10"/>
      <c r="Z66" s="10"/>
      <c r="AA66" s="10"/>
    </row>
    <row r="67" spans="1:27" s="3" customFormat="1" ht="15" customHeight="1" x14ac:dyDescent="0.2">
      <c r="A67" s="619"/>
      <c r="B67" s="1047" t="s">
        <v>41</v>
      </c>
      <c r="C67" s="1048"/>
      <c r="D67" s="1048"/>
      <c r="E67" s="1048"/>
      <c r="F67" s="1048"/>
      <c r="G67" s="1049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1052"/>
      <c r="X67" s="1053"/>
      <c r="Y67" s="10"/>
      <c r="Z67" s="10"/>
      <c r="AA67" s="10"/>
    </row>
    <row r="68" spans="1:27" s="3" customFormat="1" ht="15" customHeight="1" x14ac:dyDescent="0.2">
      <c r="A68" s="619"/>
      <c r="B68" s="493"/>
      <c r="C68" s="494"/>
      <c r="D68" s="494"/>
      <c r="E68" s="494"/>
      <c r="F68" s="494"/>
      <c r="G68" s="495"/>
      <c r="H68" s="485" t="s">
        <v>786</v>
      </c>
      <c r="I68" s="485"/>
      <c r="J68" s="485"/>
      <c r="K68" s="486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1052"/>
      <c r="X68" s="1053"/>
      <c r="Y68" s="10"/>
      <c r="AA68" s="10"/>
    </row>
    <row r="69" spans="1:27" s="3" customFormat="1" ht="15" customHeight="1" thickBot="1" x14ac:dyDescent="0.25">
      <c r="A69" s="619"/>
      <c r="B69" s="496"/>
      <c r="C69" s="497"/>
      <c r="D69" s="497"/>
      <c r="E69" s="497"/>
      <c r="F69" s="497"/>
      <c r="G69" s="498"/>
      <c r="H69" s="487" t="s">
        <v>40</v>
      </c>
      <c r="I69" s="487"/>
      <c r="J69" s="487"/>
      <c r="K69" s="488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1054"/>
      <c r="X69" s="1055"/>
      <c r="Y69" s="10"/>
      <c r="AA69" s="10"/>
    </row>
    <row r="70" spans="1:27" s="3" customFormat="1" ht="15" customHeight="1" thickTop="1" x14ac:dyDescent="0.2">
      <c r="A70" s="619"/>
      <c r="B70" s="476" t="s">
        <v>48</v>
      </c>
      <c r="C70" s="477"/>
      <c r="D70" s="477"/>
      <c r="E70" s="477"/>
      <c r="F70" s="477"/>
      <c r="G70" s="478"/>
      <c r="H70" s="63" t="s">
        <v>787</v>
      </c>
      <c r="I70" s="94" t="s">
        <v>10</v>
      </c>
      <c r="J70" s="263"/>
      <c r="K70" s="264"/>
      <c r="L70" s="491" t="s">
        <v>750</v>
      </c>
      <c r="M70" s="492"/>
      <c r="N70" s="472"/>
      <c r="O70" s="473"/>
      <c r="P70" s="472"/>
      <c r="Q70" s="473"/>
      <c r="R70" s="472"/>
      <c r="S70" s="473"/>
      <c r="T70" s="472"/>
      <c r="U70" s="662"/>
      <c r="W70" s="1056" t="s">
        <v>89</v>
      </c>
      <c r="X70" s="1057"/>
      <c r="Y70" s="10"/>
      <c r="Z70" s="10"/>
      <c r="AA70" s="10"/>
    </row>
    <row r="71" spans="1:27" s="3" customFormat="1" ht="15" customHeight="1" x14ac:dyDescent="0.2">
      <c r="A71" s="619"/>
      <c r="B71" s="1047" t="s">
        <v>43</v>
      </c>
      <c r="C71" s="1048"/>
      <c r="D71" s="1048"/>
      <c r="E71" s="1048"/>
      <c r="F71" s="1048"/>
      <c r="G71" s="1049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1058"/>
      <c r="X71" s="1059"/>
    </row>
    <row r="72" spans="1:27" s="3" customFormat="1" ht="15" customHeight="1" x14ac:dyDescent="0.2">
      <c r="A72" s="619"/>
      <c r="B72" s="493"/>
      <c r="C72" s="494"/>
      <c r="D72" s="494"/>
      <c r="E72" s="494"/>
      <c r="F72" s="494"/>
      <c r="G72" s="495"/>
      <c r="H72" s="485" t="s">
        <v>70</v>
      </c>
      <c r="I72" s="485"/>
      <c r="J72" s="485"/>
      <c r="K72" s="486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1058"/>
      <c r="X72" s="1059"/>
    </row>
    <row r="73" spans="1:27" s="3" customFormat="1" ht="15" customHeight="1" thickBot="1" x14ac:dyDescent="0.25">
      <c r="A73" s="619"/>
      <c r="B73" s="357"/>
      <c r="C73" s="358"/>
      <c r="D73" s="358"/>
      <c r="E73" s="358"/>
      <c r="F73" s="358"/>
      <c r="G73" s="544"/>
      <c r="H73" s="1062" t="s">
        <v>40</v>
      </c>
      <c r="I73" s="1062"/>
      <c r="J73" s="1062"/>
      <c r="K73" s="1063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1060"/>
      <c r="X73" s="1061"/>
    </row>
    <row r="74" spans="1:27" s="3" customFormat="1" ht="15" customHeight="1" thickTop="1" x14ac:dyDescent="0.2">
      <c r="A74" s="619"/>
      <c r="B74" s="476" t="s">
        <v>48</v>
      </c>
      <c r="C74" s="477"/>
      <c r="D74" s="477"/>
      <c r="E74" s="477"/>
      <c r="F74" s="477"/>
      <c r="G74" s="478"/>
      <c r="H74" s="63" t="s">
        <v>787</v>
      </c>
      <c r="I74" s="94" t="s">
        <v>10</v>
      </c>
      <c r="J74" s="263"/>
      <c r="K74" s="264"/>
      <c r="L74" s="491" t="s">
        <v>750</v>
      </c>
      <c r="M74" s="492"/>
      <c r="N74" s="472"/>
      <c r="O74" s="473"/>
      <c r="P74" s="472"/>
      <c r="Q74" s="473"/>
      <c r="R74" s="472"/>
      <c r="S74" s="473"/>
      <c r="T74" s="472"/>
      <c r="U74" s="662"/>
      <c r="W74" s="1064" t="s">
        <v>90</v>
      </c>
      <c r="X74" s="1065"/>
    </row>
    <row r="75" spans="1:27" s="3" customFormat="1" ht="15" customHeight="1" x14ac:dyDescent="0.2">
      <c r="A75" s="619"/>
      <c r="B75" s="1047" t="s">
        <v>43</v>
      </c>
      <c r="C75" s="1048"/>
      <c r="D75" s="1048"/>
      <c r="E75" s="1048"/>
      <c r="F75" s="1048"/>
      <c r="G75" s="1049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1066"/>
      <c r="X75" s="1067"/>
    </row>
    <row r="76" spans="1:27" s="3" customFormat="1" ht="15" customHeight="1" x14ac:dyDescent="0.2">
      <c r="A76" s="619"/>
      <c r="B76" s="493"/>
      <c r="C76" s="494"/>
      <c r="D76" s="494"/>
      <c r="E76" s="494"/>
      <c r="F76" s="494"/>
      <c r="G76" s="495"/>
      <c r="H76" s="485" t="s">
        <v>786</v>
      </c>
      <c r="I76" s="485"/>
      <c r="J76" s="485"/>
      <c r="K76" s="486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1066"/>
      <c r="X76" s="1067"/>
    </row>
    <row r="77" spans="1:27" s="3" customFormat="1" ht="15" customHeight="1" thickBot="1" x14ac:dyDescent="0.25">
      <c r="A77" s="619"/>
      <c r="B77" s="360"/>
      <c r="C77" s="361"/>
      <c r="D77" s="361"/>
      <c r="E77" s="361"/>
      <c r="F77" s="361"/>
      <c r="G77" s="1141"/>
      <c r="H77" s="1071" t="s">
        <v>40</v>
      </c>
      <c r="I77" s="1071"/>
      <c r="J77" s="1071"/>
      <c r="K77" s="1072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1068"/>
      <c r="X77" s="1069"/>
    </row>
    <row r="78" spans="1:27" s="3" customFormat="1" ht="15" customHeight="1" thickTop="1" x14ac:dyDescent="0.2">
      <c r="A78" s="619"/>
      <c r="B78" s="1142" t="s">
        <v>53</v>
      </c>
      <c r="C78" s="1143"/>
      <c r="D78" s="1143"/>
      <c r="E78" s="1143"/>
      <c r="F78" s="1143"/>
      <c r="G78" s="1144"/>
      <c r="H78" s="123" t="s">
        <v>790</v>
      </c>
      <c r="I78" s="113" t="s">
        <v>60</v>
      </c>
      <c r="J78" s="746">
        <v>1</v>
      </c>
      <c r="K78" s="749">
        <v>1</v>
      </c>
      <c r="L78" s="905"/>
      <c r="M78" s="906"/>
      <c r="N78" s="907"/>
      <c r="O78" s="906"/>
      <c r="P78" s="907"/>
      <c r="Q78" s="906"/>
      <c r="R78" s="907"/>
      <c r="S78" s="906"/>
      <c r="T78" s="516" t="s">
        <v>64</v>
      </c>
      <c r="U78" s="517"/>
      <c r="W78" s="1073" t="s">
        <v>140</v>
      </c>
      <c r="X78" s="1074"/>
    </row>
    <row r="79" spans="1:27" s="3" customFormat="1" ht="15" customHeight="1" x14ac:dyDescent="0.2">
      <c r="A79" s="619"/>
      <c r="B79" s="482" t="s">
        <v>75</v>
      </c>
      <c r="C79" s="483"/>
      <c r="D79" s="483"/>
      <c r="E79" s="483"/>
      <c r="F79" s="483"/>
      <c r="G79" s="484"/>
      <c r="H79" s="112"/>
      <c r="I79" s="113" t="s">
        <v>61</v>
      </c>
      <c r="J79" s="746"/>
      <c r="K79" s="749"/>
      <c r="L79" s="918"/>
      <c r="M79" s="919"/>
      <c r="N79" s="920"/>
      <c r="O79" s="919"/>
      <c r="P79" s="920"/>
      <c r="Q79" s="919"/>
      <c r="R79" s="920"/>
      <c r="S79" s="919"/>
      <c r="T79" s="507" t="s">
        <v>63</v>
      </c>
      <c r="U79" s="508"/>
      <c r="W79" s="1075"/>
      <c r="X79" s="1076"/>
    </row>
    <row r="80" spans="1:27" s="3" customFormat="1" ht="15" customHeight="1" x14ac:dyDescent="0.2">
      <c r="A80" s="619"/>
      <c r="B80" s="482" t="s">
        <v>794</v>
      </c>
      <c r="C80" s="483"/>
      <c r="D80" s="483"/>
      <c r="E80" s="483"/>
      <c r="F80" s="483"/>
      <c r="G80" s="484"/>
      <c r="H80" s="112"/>
      <c r="I80" s="113" t="s">
        <v>62</v>
      </c>
      <c r="J80" s="746"/>
      <c r="K80" s="749"/>
      <c r="L80" s="921"/>
      <c r="M80" s="922"/>
      <c r="N80" s="923"/>
      <c r="O80" s="922"/>
      <c r="P80" s="923"/>
      <c r="Q80" s="922"/>
      <c r="R80" s="923"/>
      <c r="S80" s="922"/>
      <c r="T80" s="511" t="s">
        <v>52</v>
      </c>
      <c r="U80" s="512"/>
      <c r="W80" s="1075"/>
      <c r="X80" s="1076"/>
    </row>
    <row r="81" spans="1:24" s="3" customFormat="1" ht="15" customHeight="1" x14ac:dyDescent="0.2">
      <c r="A81" s="619"/>
      <c r="B81" s="454" t="s">
        <v>68</v>
      </c>
      <c r="C81" s="455"/>
      <c r="D81" s="455"/>
      <c r="E81" s="455"/>
      <c r="F81" s="455"/>
      <c r="G81" s="456"/>
      <c r="H81" s="112"/>
      <c r="I81" s="113" t="s">
        <v>54</v>
      </c>
      <c r="J81" s="746"/>
      <c r="K81" s="749"/>
      <c r="L81" s="432"/>
      <c r="M81" s="433"/>
      <c r="N81" s="434"/>
      <c r="O81" s="433"/>
      <c r="P81" s="434"/>
      <c r="Q81" s="433"/>
      <c r="R81" s="434"/>
      <c r="S81" s="433"/>
      <c r="T81" s="759" t="s">
        <v>65</v>
      </c>
      <c r="U81" s="760"/>
      <c r="W81" s="1075"/>
      <c r="X81" s="1076"/>
    </row>
    <row r="82" spans="1:24" s="3" customFormat="1" ht="15" customHeight="1" x14ac:dyDescent="0.2">
      <c r="A82" s="619"/>
      <c r="B82" s="502"/>
      <c r="C82" s="503"/>
      <c r="D82" s="503"/>
      <c r="E82" s="503"/>
      <c r="F82" s="503"/>
      <c r="G82" s="504"/>
      <c r="H82" s="112"/>
      <c r="I82" s="113" t="s">
        <v>55</v>
      </c>
      <c r="J82" s="746"/>
      <c r="K82" s="749"/>
      <c r="L82" s="543"/>
      <c r="M82" s="458"/>
      <c r="N82" s="457"/>
      <c r="O82" s="458"/>
      <c r="P82" s="457"/>
      <c r="Q82" s="458"/>
      <c r="R82" s="457"/>
      <c r="S82" s="458"/>
      <c r="T82" s="509" t="s">
        <v>66</v>
      </c>
      <c r="U82" s="510"/>
      <c r="W82" s="1075"/>
      <c r="X82" s="1076"/>
    </row>
    <row r="83" spans="1:24" s="3" customFormat="1" ht="15" customHeight="1" x14ac:dyDescent="0.2">
      <c r="A83" s="619"/>
      <c r="B83" s="357"/>
      <c r="C83" s="358"/>
      <c r="D83" s="358"/>
      <c r="E83" s="358"/>
      <c r="F83" s="358"/>
      <c r="G83" s="544"/>
      <c r="H83" s="114"/>
      <c r="I83" s="113" t="s">
        <v>56</v>
      </c>
      <c r="J83" s="746"/>
      <c r="K83" s="749"/>
      <c r="L83" s="505"/>
      <c r="M83" s="506"/>
      <c r="N83" s="515"/>
      <c r="O83" s="506"/>
      <c r="P83" s="515"/>
      <c r="Q83" s="506"/>
      <c r="R83" s="515"/>
      <c r="S83" s="506"/>
      <c r="T83" s="511" t="s">
        <v>67</v>
      </c>
      <c r="U83" s="512"/>
      <c r="W83" s="1075"/>
      <c r="X83" s="1076"/>
    </row>
    <row r="84" spans="1:24" s="3" customFormat="1" ht="15" customHeight="1" x14ac:dyDescent="0.2">
      <c r="A84" s="619"/>
      <c r="B84" s="357"/>
      <c r="C84" s="358"/>
      <c r="D84" s="358"/>
      <c r="E84" s="358"/>
      <c r="F84" s="358"/>
      <c r="G84" s="544"/>
      <c r="H84" s="114"/>
      <c r="I84" s="113" t="s">
        <v>57</v>
      </c>
      <c r="J84" s="746"/>
      <c r="K84" s="749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1075"/>
      <c r="X84" s="1076"/>
    </row>
    <row r="85" spans="1:24" s="3" customFormat="1" ht="15" customHeight="1" x14ac:dyDescent="0.2">
      <c r="A85" s="619"/>
      <c r="B85" s="499"/>
      <c r="C85" s="500"/>
      <c r="D85" s="500"/>
      <c r="E85" s="500"/>
      <c r="F85" s="500"/>
      <c r="G85" s="501"/>
      <c r="H85" s="114"/>
      <c r="I85" s="217" t="s">
        <v>58</v>
      </c>
      <c r="J85" s="746"/>
      <c r="K85" s="749"/>
      <c r="L85" s="1155" t="s">
        <v>104</v>
      </c>
      <c r="M85" s="1154" t="s">
        <v>105</v>
      </c>
      <c r="N85" s="1154" t="s">
        <v>106</v>
      </c>
      <c r="O85" s="1154" t="s">
        <v>107</v>
      </c>
      <c r="P85" s="1154" t="s">
        <v>108</v>
      </c>
      <c r="Q85" s="1154" t="s">
        <v>109</v>
      </c>
      <c r="R85" s="1154" t="s">
        <v>110</v>
      </c>
      <c r="S85" s="1099" t="s">
        <v>111</v>
      </c>
      <c r="T85" s="1099" t="s">
        <v>1265</v>
      </c>
      <c r="U85" s="758" t="s">
        <v>44</v>
      </c>
      <c r="W85" s="1075"/>
      <c r="X85" s="1076"/>
    </row>
    <row r="86" spans="1:24" s="3" customFormat="1" ht="15" customHeight="1" thickBot="1" x14ac:dyDescent="0.25">
      <c r="A86" s="619"/>
      <c r="B86" s="451"/>
      <c r="C86" s="452"/>
      <c r="D86" s="452"/>
      <c r="E86" s="452"/>
      <c r="F86" s="452"/>
      <c r="G86" s="453"/>
      <c r="H86" s="117"/>
      <c r="I86" s="118" t="s">
        <v>1267</v>
      </c>
      <c r="J86" s="747"/>
      <c r="K86" s="750"/>
      <c r="L86" s="1098"/>
      <c r="M86" s="1100"/>
      <c r="N86" s="1100"/>
      <c r="O86" s="1100"/>
      <c r="P86" s="1100"/>
      <c r="Q86" s="1100"/>
      <c r="R86" s="1100"/>
      <c r="S86" s="1100"/>
      <c r="T86" s="1100"/>
      <c r="U86" s="757"/>
      <c r="W86" s="1075"/>
      <c r="X86" s="1076"/>
    </row>
    <row r="87" spans="1:24" s="3" customFormat="1" ht="15" customHeight="1" thickTop="1" x14ac:dyDescent="0.25">
      <c r="A87" s="619"/>
      <c r="B87" s="479" t="s">
        <v>53</v>
      </c>
      <c r="C87" s="480"/>
      <c r="D87" s="480"/>
      <c r="E87" s="480"/>
      <c r="F87" s="480"/>
      <c r="G87" s="481"/>
      <c r="H87" s="110" t="s">
        <v>790</v>
      </c>
      <c r="I87" s="176" t="s">
        <v>82</v>
      </c>
      <c r="J87" s="745">
        <v>1</v>
      </c>
      <c r="K87" s="748">
        <v>1</v>
      </c>
      <c r="L87" s="905"/>
      <c r="M87" s="906"/>
      <c r="N87" s="907"/>
      <c r="O87" s="906"/>
      <c r="P87" s="907"/>
      <c r="Q87" s="906"/>
      <c r="R87" s="907"/>
      <c r="S87" s="906"/>
      <c r="T87" s="516" t="s">
        <v>64</v>
      </c>
      <c r="U87" s="517"/>
      <c r="W87" s="1077" t="s">
        <v>91</v>
      </c>
      <c r="X87" s="1078"/>
    </row>
    <row r="88" spans="1:24" s="3" customFormat="1" ht="15" customHeight="1" x14ac:dyDescent="0.25">
      <c r="A88" s="619"/>
      <c r="B88" s="482" t="s">
        <v>73</v>
      </c>
      <c r="C88" s="483"/>
      <c r="D88" s="483"/>
      <c r="E88" s="483"/>
      <c r="F88" s="483"/>
      <c r="G88" s="484"/>
      <c r="H88" s="112"/>
      <c r="I88" s="176" t="s">
        <v>83</v>
      </c>
      <c r="J88" s="746"/>
      <c r="K88" s="749"/>
      <c r="L88" s="918"/>
      <c r="M88" s="919"/>
      <c r="N88" s="920"/>
      <c r="O88" s="919"/>
      <c r="P88" s="920"/>
      <c r="Q88" s="919"/>
      <c r="R88" s="920"/>
      <c r="S88" s="919"/>
      <c r="T88" s="507" t="s">
        <v>63</v>
      </c>
      <c r="U88" s="508"/>
      <c r="W88" s="1079"/>
      <c r="X88" s="1080"/>
    </row>
    <row r="89" spans="1:24" s="3" customFormat="1" ht="15" customHeight="1" x14ac:dyDescent="0.25">
      <c r="A89" s="619"/>
      <c r="B89" s="482" t="s">
        <v>794</v>
      </c>
      <c r="C89" s="483"/>
      <c r="D89" s="483"/>
      <c r="E89" s="483"/>
      <c r="F89" s="483"/>
      <c r="G89" s="484"/>
      <c r="H89" s="112"/>
      <c r="I89" s="176" t="s">
        <v>84</v>
      </c>
      <c r="J89" s="746"/>
      <c r="K89" s="749"/>
      <c r="L89" s="921"/>
      <c r="M89" s="922"/>
      <c r="N89" s="923"/>
      <c r="O89" s="922"/>
      <c r="P89" s="923"/>
      <c r="Q89" s="922"/>
      <c r="R89" s="923"/>
      <c r="S89" s="922"/>
      <c r="T89" s="511" t="s">
        <v>52</v>
      </c>
      <c r="U89" s="512"/>
      <c r="W89" s="1079"/>
      <c r="X89" s="1080"/>
    </row>
    <row r="90" spans="1:24" s="3" customFormat="1" ht="15" customHeight="1" x14ac:dyDescent="0.25">
      <c r="A90" s="619"/>
      <c r="B90" s="454" t="s">
        <v>68</v>
      </c>
      <c r="C90" s="455"/>
      <c r="D90" s="455"/>
      <c r="E90" s="455"/>
      <c r="F90" s="455"/>
      <c r="G90" s="456"/>
      <c r="H90" s="112"/>
      <c r="I90" s="176" t="s">
        <v>76</v>
      </c>
      <c r="J90" s="746"/>
      <c r="K90" s="749"/>
      <c r="L90" s="432"/>
      <c r="M90" s="433"/>
      <c r="N90" s="434"/>
      <c r="O90" s="433"/>
      <c r="P90" s="434"/>
      <c r="Q90" s="433"/>
      <c r="R90" s="434"/>
      <c r="S90" s="433"/>
      <c r="T90" s="759" t="s">
        <v>65</v>
      </c>
      <c r="U90" s="760"/>
      <c r="W90" s="1079"/>
      <c r="X90" s="1080"/>
    </row>
    <row r="91" spans="1:24" s="3" customFormat="1" ht="15" customHeight="1" x14ac:dyDescent="0.25">
      <c r="A91" s="619"/>
      <c r="B91" s="502"/>
      <c r="C91" s="503"/>
      <c r="D91" s="503"/>
      <c r="E91" s="503"/>
      <c r="F91" s="503"/>
      <c r="G91" s="504"/>
      <c r="H91" s="112"/>
      <c r="I91" s="176" t="s">
        <v>77</v>
      </c>
      <c r="J91" s="746"/>
      <c r="K91" s="749"/>
      <c r="L91" s="543"/>
      <c r="M91" s="458"/>
      <c r="N91" s="457"/>
      <c r="O91" s="458"/>
      <c r="P91" s="457"/>
      <c r="Q91" s="458"/>
      <c r="R91" s="457"/>
      <c r="S91" s="458"/>
      <c r="T91" s="509" t="s">
        <v>66</v>
      </c>
      <c r="U91" s="510"/>
      <c r="W91" s="1079"/>
      <c r="X91" s="1080"/>
    </row>
    <row r="92" spans="1:24" s="3" customFormat="1" ht="15" customHeight="1" x14ac:dyDescent="0.25">
      <c r="A92" s="619"/>
      <c r="B92" s="357"/>
      <c r="C92" s="358"/>
      <c r="D92" s="358"/>
      <c r="E92" s="358"/>
      <c r="F92" s="358"/>
      <c r="G92" s="544"/>
      <c r="H92" s="114"/>
      <c r="I92" s="176" t="s">
        <v>78</v>
      </c>
      <c r="J92" s="746"/>
      <c r="K92" s="749"/>
      <c r="L92" s="505"/>
      <c r="M92" s="506"/>
      <c r="N92" s="515"/>
      <c r="O92" s="506"/>
      <c r="P92" s="515"/>
      <c r="Q92" s="506"/>
      <c r="R92" s="515"/>
      <c r="S92" s="506"/>
      <c r="T92" s="511" t="s">
        <v>67</v>
      </c>
      <c r="U92" s="512"/>
      <c r="W92" s="1079"/>
      <c r="X92" s="1080"/>
    </row>
    <row r="93" spans="1:24" s="3" customFormat="1" ht="15" customHeight="1" x14ac:dyDescent="0.25">
      <c r="A93" s="619"/>
      <c r="B93" s="357"/>
      <c r="C93" s="358"/>
      <c r="D93" s="358"/>
      <c r="E93" s="358"/>
      <c r="F93" s="358"/>
      <c r="G93" s="544"/>
      <c r="H93" s="114"/>
      <c r="I93" s="176" t="s">
        <v>79</v>
      </c>
      <c r="J93" s="746"/>
      <c r="K93" s="749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1079"/>
      <c r="X93" s="1080"/>
    </row>
    <row r="94" spans="1:24" s="3" customFormat="1" ht="15" customHeight="1" x14ac:dyDescent="0.25">
      <c r="A94" s="619"/>
      <c r="B94" s="499"/>
      <c r="C94" s="500"/>
      <c r="D94" s="500"/>
      <c r="E94" s="500"/>
      <c r="F94" s="500"/>
      <c r="G94" s="501"/>
      <c r="H94" s="114"/>
      <c r="I94" s="301" t="s">
        <v>80</v>
      </c>
      <c r="J94" s="746"/>
      <c r="K94" s="749"/>
      <c r="L94" s="1155" t="s">
        <v>104</v>
      </c>
      <c r="M94" s="1154" t="s">
        <v>105</v>
      </c>
      <c r="N94" s="1154" t="s">
        <v>106</v>
      </c>
      <c r="O94" s="1154" t="s">
        <v>107</v>
      </c>
      <c r="P94" s="1154" t="s">
        <v>108</v>
      </c>
      <c r="Q94" s="1154" t="s">
        <v>109</v>
      </c>
      <c r="R94" s="1154" t="s">
        <v>110</v>
      </c>
      <c r="S94" s="1099" t="s">
        <v>111</v>
      </c>
      <c r="T94" s="1099" t="s">
        <v>1265</v>
      </c>
      <c r="U94" s="758" t="s">
        <v>44</v>
      </c>
      <c r="W94" s="1079"/>
      <c r="X94" s="1080"/>
    </row>
    <row r="95" spans="1:24" s="3" customFormat="1" ht="15" customHeight="1" thickBot="1" x14ac:dyDescent="0.3">
      <c r="A95" s="619"/>
      <c r="B95" s="451"/>
      <c r="C95" s="452"/>
      <c r="D95" s="452"/>
      <c r="E95" s="452"/>
      <c r="F95" s="452"/>
      <c r="G95" s="453"/>
      <c r="H95" s="117"/>
      <c r="I95" s="177" t="s">
        <v>1268</v>
      </c>
      <c r="J95" s="747"/>
      <c r="K95" s="750"/>
      <c r="L95" s="1098"/>
      <c r="M95" s="1100"/>
      <c r="N95" s="1100"/>
      <c r="O95" s="1100"/>
      <c r="P95" s="1100"/>
      <c r="Q95" s="1100"/>
      <c r="R95" s="1100"/>
      <c r="S95" s="1100"/>
      <c r="T95" s="1100"/>
      <c r="U95" s="757"/>
      <c r="W95" s="1079"/>
      <c r="X95" s="1080"/>
    </row>
    <row r="96" spans="1:24" s="3" customFormat="1" ht="15" customHeight="1" thickTop="1" x14ac:dyDescent="0.2">
      <c r="A96" s="619"/>
      <c r="B96" s="479" t="s">
        <v>53</v>
      </c>
      <c r="C96" s="480"/>
      <c r="D96" s="480"/>
      <c r="E96" s="480"/>
      <c r="F96" s="480"/>
      <c r="G96" s="481"/>
      <c r="H96" s="110" t="s">
        <v>790</v>
      </c>
      <c r="I96" s="113" t="s">
        <v>100</v>
      </c>
      <c r="J96" s="745">
        <v>1</v>
      </c>
      <c r="K96" s="748">
        <v>1</v>
      </c>
      <c r="L96" s="905"/>
      <c r="M96" s="906"/>
      <c r="N96" s="907"/>
      <c r="O96" s="906"/>
      <c r="P96" s="907"/>
      <c r="Q96" s="906"/>
      <c r="R96" s="907"/>
      <c r="S96" s="906"/>
      <c r="T96" s="516" t="s">
        <v>64</v>
      </c>
      <c r="U96" s="517"/>
      <c r="W96" s="1081" t="s">
        <v>92</v>
      </c>
      <c r="X96" s="1082"/>
    </row>
    <row r="97" spans="1:26" s="3" customFormat="1" ht="15" customHeight="1" x14ac:dyDescent="0.2">
      <c r="A97" s="619"/>
      <c r="B97" s="482" t="s">
        <v>93</v>
      </c>
      <c r="C97" s="483"/>
      <c r="D97" s="483"/>
      <c r="E97" s="483"/>
      <c r="F97" s="483"/>
      <c r="G97" s="484"/>
      <c r="H97" s="112"/>
      <c r="I97" s="113" t="s">
        <v>101</v>
      </c>
      <c r="J97" s="746"/>
      <c r="K97" s="749"/>
      <c r="L97" s="918"/>
      <c r="M97" s="919"/>
      <c r="N97" s="920"/>
      <c r="O97" s="919"/>
      <c r="P97" s="920"/>
      <c r="Q97" s="919"/>
      <c r="R97" s="920"/>
      <c r="S97" s="919"/>
      <c r="T97" s="507" t="s">
        <v>63</v>
      </c>
      <c r="U97" s="508"/>
      <c r="W97" s="1083"/>
      <c r="X97" s="1084"/>
    </row>
    <row r="98" spans="1:26" s="3" customFormat="1" ht="15" customHeight="1" x14ac:dyDescent="0.2">
      <c r="A98" s="619"/>
      <c r="B98" s="482" t="s">
        <v>793</v>
      </c>
      <c r="C98" s="483"/>
      <c r="D98" s="483"/>
      <c r="E98" s="483"/>
      <c r="F98" s="483"/>
      <c r="G98" s="484"/>
      <c r="H98" s="112"/>
      <c r="I98" s="113" t="s">
        <v>102</v>
      </c>
      <c r="J98" s="746"/>
      <c r="K98" s="749"/>
      <c r="L98" s="921"/>
      <c r="M98" s="922"/>
      <c r="N98" s="923"/>
      <c r="O98" s="922"/>
      <c r="P98" s="923"/>
      <c r="Q98" s="922"/>
      <c r="R98" s="923"/>
      <c r="S98" s="922"/>
      <c r="T98" s="511" t="s">
        <v>52</v>
      </c>
      <c r="U98" s="512"/>
      <c r="W98" s="1083"/>
      <c r="X98" s="1084"/>
    </row>
    <row r="99" spans="1:26" s="3" customFormat="1" ht="15" customHeight="1" x14ac:dyDescent="0.2">
      <c r="A99" s="619"/>
      <c r="B99" s="454" t="s">
        <v>68</v>
      </c>
      <c r="C99" s="455"/>
      <c r="D99" s="455"/>
      <c r="E99" s="455"/>
      <c r="F99" s="455"/>
      <c r="G99" s="456"/>
      <c r="H99" s="112"/>
      <c r="I99" s="113" t="s">
        <v>94</v>
      </c>
      <c r="J99" s="746"/>
      <c r="K99" s="749"/>
      <c r="L99" s="432"/>
      <c r="M99" s="433"/>
      <c r="N99" s="434"/>
      <c r="O99" s="433"/>
      <c r="P99" s="434"/>
      <c r="Q99" s="433"/>
      <c r="R99" s="434"/>
      <c r="S99" s="433"/>
      <c r="T99" s="759" t="s">
        <v>65</v>
      </c>
      <c r="U99" s="760"/>
      <c r="W99" s="1083"/>
      <c r="X99" s="1084"/>
    </row>
    <row r="100" spans="1:26" s="3" customFormat="1" ht="15" customHeight="1" x14ac:dyDescent="0.2">
      <c r="A100" s="619"/>
      <c r="B100" s="502"/>
      <c r="C100" s="503"/>
      <c r="D100" s="503"/>
      <c r="E100" s="503"/>
      <c r="F100" s="503"/>
      <c r="G100" s="504"/>
      <c r="H100" s="112"/>
      <c r="I100" s="113" t="s">
        <v>95</v>
      </c>
      <c r="J100" s="746"/>
      <c r="K100" s="749"/>
      <c r="L100" s="543"/>
      <c r="M100" s="458"/>
      <c r="N100" s="457"/>
      <c r="O100" s="458"/>
      <c r="P100" s="457"/>
      <c r="Q100" s="458"/>
      <c r="R100" s="457"/>
      <c r="S100" s="458"/>
      <c r="T100" s="509" t="s">
        <v>66</v>
      </c>
      <c r="U100" s="510"/>
      <c r="W100" s="1083"/>
      <c r="X100" s="1084"/>
    </row>
    <row r="101" spans="1:26" s="3" customFormat="1" ht="15" customHeight="1" x14ac:dyDescent="0.2">
      <c r="A101" s="619"/>
      <c r="B101" s="357"/>
      <c r="C101" s="358"/>
      <c r="D101" s="358"/>
      <c r="E101" s="358"/>
      <c r="F101" s="358"/>
      <c r="G101" s="544"/>
      <c r="H101" s="114"/>
      <c r="I101" s="113" t="s">
        <v>96</v>
      </c>
      <c r="J101" s="746"/>
      <c r="K101" s="749"/>
      <c r="L101" s="505"/>
      <c r="M101" s="506"/>
      <c r="N101" s="515"/>
      <c r="O101" s="506"/>
      <c r="P101" s="515"/>
      <c r="Q101" s="506"/>
      <c r="R101" s="515"/>
      <c r="S101" s="506"/>
      <c r="T101" s="511" t="s">
        <v>67</v>
      </c>
      <c r="U101" s="512"/>
      <c r="W101" s="1083"/>
      <c r="X101" s="1084"/>
    </row>
    <row r="102" spans="1:26" s="3" customFormat="1" ht="15" customHeight="1" x14ac:dyDescent="0.2">
      <c r="A102" s="619"/>
      <c r="B102" s="357"/>
      <c r="C102" s="358"/>
      <c r="D102" s="358"/>
      <c r="E102" s="358"/>
      <c r="F102" s="358"/>
      <c r="G102" s="544"/>
      <c r="H102" s="114"/>
      <c r="I102" s="113" t="s">
        <v>97</v>
      </c>
      <c r="J102" s="746"/>
      <c r="K102" s="749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1083"/>
      <c r="X102" s="1084"/>
    </row>
    <row r="103" spans="1:26" s="3" customFormat="1" ht="15" customHeight="1" x14ac:dyDescent="0.2">
      <c r="A103" s="619"/>
      <c r="B103" s="499"/>
      <c r="C103" s="500"/>
      <c r="D103" s="500"/>
      <c r="E103" s="500"/>
      <c r="F103" s="500"/>
      <c r="G103" s="501"/>
      <c r="H103" s="114"/>
      <c r="I103" s="217" t="s">
        <v>98</v>
      </c>
      <c r="J103" s="746"/>
      <c r="K103" s="749"/>
      <c r="L103" s="1155" t="s">
        <v>104</v>
      </c>
      <c r="M103" s="1154" t="s">
        <v>105</v>
      </c>
      <c r="N103" s="1154" t="s">
        <v>106</v>
      </c>
      <c r="O103" s="1154" t="s">
        <v>107</v>
      </c>
      <c r="P103" s="1154" t="s">
        <v>108</v>
      </c>
      <c r="Q103" s="1154" t="s">
        <v>109</v>
      </c>
      <c r="R103" s="1154" t="s">
        <v>110</v>
      </c>
      <c r="S103" s="1099" t="s">
        <v>111</v>
      </c>
      <c r="T103" s="1099" t="s">
        <v>1265</v>
      </c>
      <c r="U103" s="758" t="s">
        <v>44</v>
      </c>
      <c r="W103" s="1083"/>
      <c r="X103" s="1084"/>
    </row>
    <row r="104" spans="1:26" s="3" customFormat="1" ht="15" customHeight="1" thickBot="1" x14ac:dyDescent="0.25">
      <c r="A104" s="619"/>
      <c r="B104" s="451"/>
      <c r="C104" s="452"/>
      <c r="D104" s="452"/>
      <c r="E104" s="452"/>
      <c r="F104" s="452"/>
      <c r="G104" s="453"/>
      <c r="H104" s="117"/>
      <c r="I104" s="178" t="s">
        <v>1266</v>
      </c>
      <c r="J104" s="747"/>
      <c r="K104" s="750"/>
      <c r="L104" s="1098"/>
      <c r="M104" s="1100"/>
      <c r="N104" s="1100"/>
      <c r="O104" s="1100"/>
      <c r="P104" s="1100"/>
      <c r="Q104" s="1100"/>
      <c r="R104" s="1100"/>
      <c r="S104" s="1100"/>
      <c r="T104" s="1100"/>
      <c r="U104" s="757"/>
      <c r="W104" s="1083"/>
      <c r="X104" s="1084"/>
    </row>
    <row r="105" spans="1:26" s="3" customFormat="1" ht="15" customHeight="1" thickTop="1" x14ac:dyDescent="0.2">
      <c r="A105" s="619"/>
      <c r="B105" s="479"/>
      <c r="C105" s="480"/>
      <c r="D105" s="480"/>
      <c r="E105" s="480"/>
      <c r="F105" s="480"/>
      <c r="G105" s="481"/>
      <c r="H105" s="110" t="s">
        <v>790</v>
      </c>
      <c r="I105" s="111"/>
      <c r="J105" s="745">
        <v>2</v>
      </c>
      <c r="K105" s="748">
        <v>2</v>
      </c>
      <c r="L105" s="905"/>
      <c r="M105" s="906"/>
      <c r="N105" s="907"/>
      <c r="O105" s="906"/>
      <c r="P105" s="907"/>
      <c r="Q105" s="906"/>
      <c r="R105" s="907"/>
      <c r="S105" s="906"/>
      <c r="T105" s="516" t="s">
        <v>64</v>
      </c>
      <c r="U105" s="517"/>
      <c r="W105" s="1073" t="s">
        <v>141</v>
      </c>
      <c r="X105" s="1087"/>
      <c r="Y105" s="1089" t="s">
        <v>112</v>
      </c>
      <c r="Z105" s="1090"/>
    </row>
    <row r="106" spans="1:26" s="3" customFormat="1" ht="15" customHeight="1" x14ac:dyDescent="0.2">
      <c r="A106" s="619"/>
      <c r="B106" s="482"/>
      <c r="C106" s="483"/>
      <c r="D106" s="483"/>
      <c r="E106" s="483"/>
      <c r="F106" s="483"/>
      <c r="G106" s="484"/>
      <c r="H106" s="112"/>
      <c r="I106" s="113"/>
      <c r="J106" s="746"/>
      <c r="K106" s="749"/>
      <c r="L106" s="918"/>
      <c r="M106" s="919"/>
      <c r="N106" s="920"/>
      <c r="O106" s="919"/>
      <c r="P106" s="920"/>
      <c r="Q106" s="919"/>
      <c r="R106" s="920"/>
      <c r="S106" s="919"/>
      <c r="T106" s="507" t="s">
        <v>63</v>
      </c>
      <c r="U106" s="508"/>
      <c r="W106" s="1075"/>
      <c r="X106" s="1088"/>
      <c r="Y106" s="1091"/>
      <c r="Z106" s="1092"/>
    </row>
    <row r="107" spans="1:26" s="3" customFormat="1" ht="15" customHeight="1" x14ac:dyDescent="0.2">
      <c r="A107" s="619"/>
      <c r="B107" s="482"/>
      <c r="C107" s="483"/>
      <c r="D107" s="483"/>
      <c r="E107" s="483"/>
      <c r="F107" s="483"/>
      <c r="G107" s="484"/>
      <c r="H107" s="112"/>
      <c r="I107" s="113"/>
      <c r="J107" s="746"/>
      <c r="K107" s="749"/>
      <c r="L107" s="921"/>
      <c r="M107" s="922"/>
      <c r="N107" s="923"/>
      <c r="O107" s="922"/>
      <c r="P107" s="923"/>
      <c r="Q107" s="922"/>
      <c r="R107" s="923"/>
      <c r="S107" s="922"/>
      <c r="T107" s="511" t="s">
        <v>52</v>
      </c>
      <c r="U107" s="512"/>
      <c r="W107" s="1075"/>
      <c r="X107" s="1088"/>
      <c r="Y107" s="1091"/>
      <c r="Z107" s="1092"/>
    </row>
    <row r="108" spans="1:26" s="3" customFormat="1" ht="15" customHeight="1" x14ac:dyDescent="0.2">
      <c r="A108" s="619"/>
      <c r="B108" s="454" t="s">
        <v>69</v>
      </c>
      <c r="C108" s="455"/>
      <c r="D108" s="455"/>
      <c r="E108" s="455"/>
      <c r="F108" s="455"/>
      <c r="G108" s="456"/>
      <c r="H108" s="112"/>
      <c r="I108" s="113"/>
      <c r="J108" s="746"/>
      <c r="K108" s="749"/>
      <c r="L108" s="432"/>
      <c r="M108" s="433"/>
      <c r="N108" s="434"/>
      <c r="O108" s="433"/>
      <c r="P108" s="434"/>
      <c r="Q108" s="433"/>
      <c r="R108" s="434"/>
      <c r="S108" s="433"/>
      <c r="T108" s="759" t="s">
        <v>65</v>
      </c>
      <c r="U108" s="760"/>
      <c r="W108" s="1075"/>
      <c r="X108" s="1088"/>
      <c r="Y108" s="1091"/>
      <c r="Z108" s="1092"/>
    </row>
    <row r="109" spans="1:26" s="3" customFormat="1" ht="15" customHeight="1" x14ac:dyDescent="0.2">
      <c r="A109" s="619"/>
      <c r="B109" s="454" t="s">
        <v>130</v>
      </c>
      <c r="C109" s="455"/>
      <c r="D109" s="455"/>
      <c r="E109" s="455"/>
      <c r="F109" s="455"/>
      <c r="G109" s="456"/>
      <c r="H109" s="112"/>
      <c r="I109" s="113"/>
      <c r="J109" s="746"/>
      <c r="K109" s="749"/>
      <c r="L109" s="543"/>
      <c r="M109" s="458"/>
      <c r="N109" s="457"/>
      <c r="O109" s="458"/>
      <c r="P109" s="457"/>
      <c r="Q109" s="458"/>
      <c r="R109" s="457"/>
      <c r="S109" s="458"/>
      <c r="T109" s="509" t="s">
        <v>66</v>
      </c>
      <c r="U109" s="510"/>
      <c r="W109" s="1075"/>
      <c r="X109" s="1088"/>
      <c r="Y109" s="1091"/>
      <c r="Z109" s="1092"/>
    </row>
    <row r="110" spans="1:26" s="3" customFormat="1" ht="15" customHeight="1" x14ac:dyDescent="0.2">
      <c r="A110" s="619"/>
      <c r="B110" s="357"/>
      <c r="C110" s="358"/>
      <c r="D110" s="358"/>
      <c r="E110" s="358"/>
      <c r="F110" s="358"/>
      <c r="G110" s="544"/>
      <c r="H110" s="114"/>
      <c r="I110" s="113"/>
      <c r="J110" s="746"/>
      <c r="K110" s="749"/>
      <c r="L110" s="505"/>
      <c r="M110" s="506"/>
      <c r="N110" s="515"/>
      <c r="O110" s="506"/>
      <c r="P110" s="515"/>
      <c r="Q110" s="506"/>
      <c r="R110" s="515"/>
      <c r="S110" s="506"/>
      <c r="T110" s="511" t="s">
        <v>67</v>
      </c>
      <c r="U110" s="512"/>
      <c r="W110" s="1075"/>
      <c r="X110" s="1088"/>
      <c r="Y110" s="1091"/>
      <c r="Z110" s="1092"/>
    </row>
    <row r="111" spans="1:26" s="3" customFormat="1" ht="15" customHeight="1" x14ac:dyDescent="0.2">
      <c r="A111" s="619"/>
      <c r="B111" s="499"/>
      <c r="C111" s="500"/>
      <c r="D111" s="500"/>
      <c r="E111" s="500"/>
      <c r="F111" s="500"/>
      <c r="G111" s="501"/>
      <c r="H111" s="114"/>
      <c r="I111" s="113"/>
      <c r="J111" s="746"/>
      <c r="K111" s="749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1075"/>
      <c r="X111" s="1088"/>
      <c r="Y111" s="1091"/>
      <c r="Z111" s="1092"/>
    </row>
    <row r="112" spans="1:26" s="3" customFormat="1" ht="15" customHeight="1" x14ac:dyDescent="0.2">
      <c r="A112" s="619"/>
      <c r="B112" s="499"/>
      <c r="C112" s="500"/>
      <c r="D112" s="500"/>
      <c r="E112" s="500"/>
      <c r="F112" s="500"/>
      <c r="G112" s="501"/>
      <c r="H112" s="114"/>
      <c r="I112" s="113"/>
      <c r="J112" s="746"/>
      <c r="K112" s="749"/>
      <c r="L112" s="908"/>
      <c r="M112" s="910"/>
      <c r="N112" s="910"/>
      <c r="O112" s="910"/>
      <c r="P112" s="910"/>
      <c r="Q112" s="910"/>
      <c r="R112" s="910"/>
      <c r="S112" s="910"/>
      <c r="T112" s="910"/>
      <c r="U112" s="758" t="s">
        <v>44</v>
      </c>
      <c r="W112" s="1075"/>
      <c r="X112" s="1088"/>
      <c r="Y112" s="1091"/>
      <c r="Z112" s="1092"/>
    </row>
    <row r="113" spans="1:32" s="3" customFormat="1" ht="15" customHeight="1" thickBot="1" x14ac:dyDescent="0.25">
      <c r="A113" s="619"/>
      <c r="B113" s="451"/>
      <c r="C113" s="452"/>
      <c r="D113" s="452"/>
      <c r="E113" s="452"/>
      <c r="F113" s="452"/>
      <c r="G113" s="453"/>
      <c r="H113" s="117"/>
      <c r="I113" s="118"/>
      <c r="J113" s="747"/>
      <c r="K113" s="750"/>
      <c r="L113" s="909"/>
      <c r="M113" s="911"/>
      <c r="N113" s="911"/>
      <c r="O113" s="911"/>
      <c r="P113" s="911"/>
      <c r="Q113" s="911"/>
      <c r="R113" s="911"/>
      <c r="S113" s="911"/>
      <c r="T113" s="911"/>
      <c r="U113" s="757"/>
      <c r="W113" s="1075"/>
      <c r="X113" s="1088"/>
      <c r="Y113" s="1093"/>
      <c r="Z113" s="1094"/>
    </row>
    <row r="114" spans="1:32" ht="15" customHeight="1" thickTop="1" x14ac:dyDescent="0.2">
      <c r="A114" s="116"/>
      <c r="B114" s="479"/>
      <c r="C114" s="480"/>
      <c r="D114" s="480"/>
      <c r="E114" s="480"/>
      <c r="F114" s="480"/>
      <c r="G114" s="481"/>
      <c r="H114" s="110" t="s">
        <v>790</v>
      </c>
      <c r="I114" s="111"/>
      <c r="J114" s="745">
        <v>1</v>
      </c>
      <c r="K114" s="748">
        <v>1</v>
      </c>
      <c r="L114" s="905"/>
      <c r="M114" s="906"/>
      <c r="N114" s="907"/>
      <c r="O114" s="906"/>
      <c r="P114" s="907"/>
      <c r="Q114" s="906"/>
      <c r="R114" s="907"/>
      <c r="S114" s="906"/>
      <c r="T114" s="516" t="s">
        <v>64</v>
      </c>
      <c r="U114" s="517"/>
      <c r="V114" s="3"/>
      <c r="W114" s="1077" t="s">
        <v>142</v>
      </c>
      <c r="X114" s="1095"/>
    </row>
    <row r="115" spans="1:32" ht="15" customHeight="1" x14ac:dyDescent="0.2">
      <c r="A115" s="116"/>
      <c r="B115" s="482"/>
      <c r="C115" s="483"/>
      <c r="D115" s="483"/>
      <c r="E115" s="483"/>
      <c r="F115" s="483"/>
      <c r="G115" s="484"/>
      <c r="H115" s="112"/>
      <c r="I115" s="113"/>
      <c r="J115" s="746"/>
      <c r="K115" s="749"/>
      <c r="L115" s="918"/>
      <c r="M115" s="919"/>
      <c r="N115" s="920"/>
      <c r="O115" s="919"/>
      <c r="P115" s="920"/>
      <c r="Q115" s="919"/>
      <c r="R115" s="920"/>
      <c r="S115" s="919"/>
      <c r="T115" s="507" t="s">
        <v>63</v>
      </c>
      <c r="U115" s="508"/>
      <c r="V115" s="3"/>
      <c r="W115" s="1079"/>
      <c r="X115" s="1096"/>
    </row>
    <row r="116" spans="1:32" s="5" customFormat="1" ht="15" customHeight="1" x14ac:dyDescent="0.2">
      <c r="A116" s="116"/>
      <c r="B116" s="482"/>
      <c r="C116" s="483"/>
      <c r="D116" s="483"/>
      <c r="E116" s="483"/>
      <c r="F116" s="483"/>
      <c r="G116" s="484"/>
      <c r="H116" s="112"/>
      <c r="I116" s="113"/>
      <c r="J116" s="746"/>
      <c r="K116" s="749"/>
      <c r="L116" s="921"/>
      <c r="M116" s="922"/>
      <c r="N116" s="923"/>
      <c r="O116" s="922"/>
      <c r="P116" s="923"/>
      <c r="Q116" s="922"/>
      <c r="R116" s="923"/>
      <c r="S116" s="922"/>
      <c r="T116" s="511" t="s">
        <v>52</v>
      </c>
      <c r="U116" s="512"/>
      <c r="V116" s="3"/>
      <c r="W116" s="1079"/>
      <c r="X116" s="1096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454" t="s">
        <v>145</v>
      </c>
      <c r="C117" s="455"/>
      <c r="D117" s="455"/>
      <c r="E117" s="455"/>
      <c r="F117" s="455"/>
      <c r="G117" s="456"/>
      <c r="H117" s="112"/>
      <c r="I117" s="113"/>
      <c r="J117" s="746"/>
      <c r="K117" s="749"/>
      <c r="L117" s="432"/>
      <c r="M117" s="433"/>
      <c r="N117" s="434"/>
      <c r="O117" s="433"/>
      <c r="P117" s="434"/>
      <c r="Q117" s="433"/>
      <c r="R117" s="434"/>
      <c r="S117" s="433"/>
      <c r="T117" s="759" t="s">
        <v>65</v>
      </c>
      <c r="U117" s="760"/>
      <c r="V117" s="3"/>
      <c r="W117" s="1079"/>
      <c r="X117" s="1096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502"/>
      <c r="C118" s="503"/>
      <c r="D118" s="503"/>
      <c r="E118" s="503"/>
      <c r="F118" s="503"/>
      <c r="G118" s="504"/>
      <c r="H118" s="112"/>
      <c r="I118" s="113"/>
      <c r="J118" s="746"/>
      <c r="K118" s="749"/>
      <c r="L118" s="543"/>
      <c r="M118" s="458"/>
      <c r="N118" s="457"/>
      <c r="O118" s="458"/>
      <c r="P118" s="457"/>
      <c r="Q118" s="458"/>
      <c r="R118" s="457"/>
      <c r="S118" s="458"/>
      <c r="T118" s="509" t="s">
        <v>66</v>
      </c>
      <c r="U118" s="510"/>
      <c r="V118" s="3"/>
      <c r="W118" s="1079"/>
      <c r="X118" s="1096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357"/>
      <c r="C119" s="358"/>
      <c r="D119" s="358"/>
      <c r="E119" s="358"/>
      <c r="F119" s="358"/>
      <c r="G119" s="544"/>
      <c r="H119" s="114"/>
      <c r="I119" s="113"/>
      <c r="J119" s="746"/>
      <c r="K119" s="749"/>
      <c r="L119" s="505"/>
      <c r="M119" s="506"/>
      <c r="N119" s="515"/>
      <c r="O119" s="506"/>
      <c r="P119" s="515"/>
      <c r="Q119" s="506"/>
      <c r="R119" s="515"/>
      <c r="S119" s="506"/>
      <c r="T119" s="511" t="s">
        <v>67</v>
      </c>
      <c r="U119" s="512"/>
      <c r="V119" s="3"/>
      <c r="W119" s="1079"/>
      <c r="X119" s="1096"/>
    </row>
    <row r="120" spans="1:32" ht="15" customHeight="1" x14ac:dyDescent="0.2">
      <c r="A120" s="116"/>
      <c r="B120" s="499"/>
      <c r="C120" s="500"/>
      <c r="D120" s="500"/>
      <c r="E120" s="500"/>
      <c r="F120" s="500"/>
      <c r="G120" s="501"/>
      <c r="H120" s="114"/>
      <c r="I120" s="113"/>
      <c r="J120" s="746"/>
      <c r="K120" s="749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1079"/>
      <c r="X120" s="1096"/>
    </row>
    <row r="121" spans="1:32" ht="15" customHeight="1" x14ac:dyDescent="0.2">
      <c r="A121" s="116"/>
      <c r="B121" s="499"/>
      <c r="C121" s="500"/>
      <c r="D121" s="500"/>
      <c r="E121" s="500"/>
      <c r="F121" s="500"/>
      <c r="G121" s="501"/>
      <c r="H121" s="114"/>
      <c r="I121" s="113"/>
      <c r="J121" s="746"/>
      <c r="K121" s="749"/>
      <c r="L121" s="1097"/>
      <c r="M121" s="1099"/>
      <c r="N121" s="1099"/>
      <c r="O121" s="1099"/>
      <c r="P121" s="1099"/>
      <c r="Q121" s="1099"/>
      <c r="R121" s="1099"/>
      <c r="S121" s="1099"/>
      <c r="T121" s="1099"/>
      <c r="U121" s="758" t="s">
        <v>44</v>
      </c>
      <c r="V121" s="3"/>
      <c r="W121" s="1079"/>
      <c r="X121" s="1096"/>
    </row>
    <row r="122" spans="1:32" ht="15" customHeight="1" thickBot="1" x14ac:dyDescent="0.25">
      <c r="A122" s="116"/>
      <c r="B122" s="451"/>
      <c r="C122" s="452"/>
      <c r="D122" s="452"/>
      <c r="E122" s="452"/>
      <c r="F122" s="452"/>
      <c r="G122" s="453"/>
      <c r="H122" s="117"/>
      <c r="I122" s="118"/>
      <c r="J122" s="747"/>
      <c r="K122" s="750"/>
      <c r="L122" s="1098"/>
      <c r="M122" s="1100"/>
      <c r="N122" s="1100"/>
      <c r="O122" s="1100"/>
      <c r="P122" s="1100"/>
      <c r="Q122" s="1100"/>
      <c r="R122" s="1100"/>
      <c r="S122" s="1100"/>
      <c r="T122" s="1100"/>
      <c r="U122" s="757"/>
      <c r="V122" s="3"/>
      <c r="W122" s="1079"/>
      <c r="X122" s="1096"/>
    </row>
    <row r="123" spans="1:32" ht="15" customHeight="1" thickTop="1" x14ac:dyDescent="0.2">
      <c r="A123" s="116"/>
      <c r="B123" s="479"/>
      <c r="C123" s="480"/>
      <c r="D123" s="480"/>
      <c r="E123" s="480"/>
      <c r="F123" s="480"/>
      <c r="G123" s="481"/>
      <c r="H123" s="110"/>
      <c r="I123" s="111"/>
      <c r="J123" s="745">
        <v>1</v>
      </c>
      <c r="K123" s="748">
        <v>1</v>
      </c>
      <c r="L123" s="905"/>
      <c r="M123" s="906"/>
      <c r="N123" s="907"/>
      <c r="O123" s="906"/>
      <c r="P123" s="907"/>
      <c r="Q123" s="906"/>
      <c r="R123" s="907"/>
      <c r="S123" s="906"/>
      <c r="T123" s="516" t="s">
        <v>64</v>
      </c>
      <c r="U123" s="517"/>
      <c r="W123" s="1081" t="s">
        <v>146</v>
      </c>
      <c r="X123" s="1082"/>
    </row>
    <row r="124" spans="1:32" ht="15" customHeight="1" x14ac:dyDescent="0.2">
      <c r="A124" s="116"/>
      <c r="B124" s="482"/>
      <c r="C124" s="483"/>
      <c r="D124" s="483"/>
      <c r="E124" s="483"/>
      <c r="F124" s="483"/>
      <c r="G124" s="484"/>
      <c r="H124" s="112"/>
      <c r="I124" s="113"/>
      <c r="J124" s="746"/>
      <c r="K124" s="749"/>
      <c r="L124" s="918"/>
      <c r="M124" s="919"/>
      <c r="N124" s="920"/>
      <c r="O124" s="919"/>
      <c r="P124" s="920"/>
      <c r="Q124" s="919"/>
      <c r="R124" s="920"/>
      <c r="S124" s="919"/>
      <c r="T124" s="507" t="s">
        <v>63</v>
      </c>
      <c r="U124" s="508"/>
      <c r="W124" s="1083"/>
      <c r="X124" s="1084"/>
    </row>
    <row r="125" spans="1:32" ht="15" customHeight="1" x14ac:dyDescent="0.2">
      <c r="A125" s="116"/>
      <c r="B125" s="482"/>
      <c r="C125" s="483"/>
      <c r="D125" s="483"/>
      <c r="E125" s="483"/>
      <c r="F125" s="483"/>
      <c r="G125" s="484"/>
      <c r="H125" s="112"/>
      <c r="I125" s="113"/>
      <c r="J125" s="746"/>
      <c r="K125" s="749"/>
      <c r="L125" s="921"/>
      <c r="M125" s="922"/>
      <c r="N125" s="923"/>
      <c r="O125" s="922"/>
      <c r="P125" s="923"/>
      <c r="Q125" s="922"/>
      <c r="R125" s="923"/>
      <c r="S125" s="922"/>
      <c r="T125" s="511" t="s">
        <v>52</v>
      </c>
      <c r="U125" s="512"/>
      <c r="W125" s="1083"/>
      <c r="X125" s="1084"/>
    </row>
    <row r="126" spans="1:32" ht="15" customHeight="1" x14ac:dyDescent="0.2">
      <c r="A126" s="116"/>
      <c r="B126" s="454"/>
      <c r="C126" s="455"/>
      <c r="D126" s="455"/>
      <c r="E126" s="455"/>
      <c r="F126" s="455"/>
      <c r="G126" s="456"/>
      <c r="H126" s="112"/>
      <c r="I126" s="113"/>
      <c r="J126" s="746"/>
      <c r="K126" s="749"/>
      <c r="L126" s="432"/>
      <c r="M126" s="433"/>
      <c r="N126" s="434"/>
      <c r="O126" s="433"/>
      <c r="P126" s="434"/>
      <c r="Q126" s="433"/>
      <c r="R126" s="434"/>
      <c r="S126" s="433"/>
      <c r="T126" s="759" t="s">
        <v>65</v>
      </c>
      <c r="U126" s="760"/>
      <c r="W126" s="1083"/>
      <c r="X126" s="1084"/>
    </row>
    <row r="127" spans="1:32" ht="15" customHeight="1" x14ac:dyDescent="0.2">
      <c r="A127" s="116"/>
      <c r="B127" s="502"/>
      <c r="C127" s="503"/>
      <c r="D127" s="503"/>
      <c r="E127" s="503"/>
      <c r="F127" s="503"/>
      <c r="G127" s="504"/>
      <c r="H127" s="112"/>
      <c r="I127" s="113"/>
      <c r="J127" s="746"/>
      <c r="K127" s="749"/>
      <c r="L127" s="543"/>
      <c r="M127" s="458"/>
      <c r="N127" s="457"/>
      <c r="O127" s="458"/>
      <c r="P127" s="457"/>
      <c r="Q127" s="458"/>
      <c r="R127" s="457"/>
      <c r="S127" s="458"/>
      <c r="T127" s="509" t="s">
        <v>66</v>
      </c>
      <c r="U127" s="510"/>
      <c r="W127" s="1083"/>
      <c r="X127" s="1084"/>
    </row>
    <row r="128" spans="1:32" ht="15" customHeight="1" x14ac:dyDescent="0.2">
      <c r="A128" s="116"/>
      <c r="B128" s="357"/>
      <c r="C128" s="358"/>
      <c r="D128" s="358"/>
      <c r="E128" s="358"/>
      <c r="F128" s="358"/>
      <c r="G128" s="544"/>
      <c r="H128" s="114"/>
      <c r="I128" s="113"/>
      <c r="J128" s="746"/>
      <c r="K128" s="749"/>
      <c r="L128" s="505"/>
      <c r="M128" s="506"/>
      <c r="N128" s="515"/>
      <c r="O128" s="506"/>
      <c r="P128" s="515"/>
      <c r="Q128" s="506"/>
      <c r="R128" s="515"/>
      <c r="S128" s="506"/>
      <c r="T128" s="511" t="s">
        <v>67</v>
      </c>
      <c r="U128" s="512"/>
      <c r="W128" s="1083"/>
      <c r="X128" s="1084"/>
    </row>
    <row r="129" spans="1:26" ht="15" customHeight="1" x14ac:dyDescent="0.2">
      <c r="A129" s="116"/>
      <c r="B129" s="499"/>
      <c r="C129" s="500"/>
      <c r="D129" s="500"/>
      <c r="E129" s="500"/>
      <c r="F129" s="500"/>
      <c r="G129" s="501"/>
      <c r="H129" s="114"/>
      <c r="I129" s="113"/>
      <c r="J129" s="746"/>
      <c r="K129" s="749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1083"/>
      <c r="X129" s="1084"/>
    </row>
    <row r="130" spans="1:26" ht="15" customHeight="1" x14ac:dyDescent="0.2">
      <c r="A130" s="116"/>
      <c r="B130" s="499"/>
      <c r="C130" s="500"/>
      <c r="D130" s="500"/>
      <c r="E130" s="500"/>
      <c r="F130" s="500"/>
      <c r="G130" s="501"/>
      <c r="H130" s="114"/>
      <c r="I130" s="113"/>
      <c r="J130" s="746"/>
      <c r="K130" s="749"/>
      <c r="L130" s="1097"/>
      <c r="M130" s="1099"/>
      <c r="N130" s="1099"/>
      <c r="O130" s="1099"/>
      <c r="P130" s="1099"/>
      <c r="Q130" s="1099"/>
      <c r="R130" s="1099"/>
      <c r="S130" s="1099"/>
      <c r="T130" s="1099"/>
      <c r="U130" s="758" t="s">
        <v>44</v>
      </c>
      <c r="W130" s="1083"/>
      <c r="X130" s="1084"/>
    </row>
    <row r="131" spans="1:26" ht="15" customHeight="1" thickBot="1" x14ac:dyDescent="0.25">
      <c r="A131" s="116"/>
      <c r="B131" s="451"/>
      <c r="C131" s="452"/>
      <c r="D131" s="452"/>
      <c r="E131" s="452"/>
      <c r="F131" s="452"/>
      <c r="G131" s="453"/>
      <c r="H131" s="117"/>
      <c r="I131" s="118"/>
      <c r="J131" s="747"/>
      <c r="K131" s="750"/>
      <c r="L131" s="1098"/>
      <c r="M131" s="1100"/>
      <c r="N131" s="1100"/>
      <c r="O131" s="1100"/>
      <c r="P131" s="1100"/>
      <c r="Q131" s="1100"/>
      <c r="R131" s="1100"/>
      <c r="S131" s="1100"/>
      <c r="T131" s="1100"/>
      <c r="U131" s="757"/>
      <c r="W131" s="1083"/>
      <c r="X131" s="1084"/>
    </row>
    <row r="132" spans="1:26" ht="15" customHeight="1" x14ac:dyDescent="0.2">
      <c r="A132" s="116"/>
      <c r="B132" s="435" t="s">
        <v>746</v>
      </c>
      <c r="C132" s="436"/>
      <c r="D132" s="436"/>
      <c r="E132" s="436"/>
      <c r="F132" s="436"/>
      <c r="G132" s="437"/>
      <c r="H132" s="110" t="s">
        <v>745</v>
      </c>
      <c r="I132" s="219" t="s">
        <v>674</v>
      </c>
      <c r="J132" s="248"/>
      <c r="K132" s="249"/>
      <c r="L132" s="1153" t="s">
        <v>675</v>
      </c>
      <c r="M132" s="441"/>
      <c r="N132" s="440"/>
      <c r="O132" s="441"/>
      <c r="P132" s="440"/>
      <c r="Q132" s="441"/>
      <c r="R132" s="440"/>
      <c r="S132" s="441"/>
      <c r="T132" s="440"/>
      <c r="U132" s="442"/>
      <c r="W132" s="883" t="s">
        <v>612</v>
      </c>
      <c r="X132" s="854"/>
      <c r="Y132" s="854"/>
      <c r="Z132" s="884"/>
    </row>
    <row r="133" spans="1:26" ht="15" customHeight="1" x14ac:dyDescent="0.2">
      <c r="A133" s="116"/>
      <c r="B133" s="1150" t="s">
        <v>749</v>
      </c>
      <c r="C133" s="1151"/>
      <c r="D133" s="1151"/>
      <c r="E133" s="1151"/>
      <c r="F133" s="1151"/>
      <c r="G133" s="1152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885"/>
      <c r="X133" s="855"/>
      <c r="Y133" s="855"/>
      <c r="Z133" s="886"/>
    </row>
    <row r="134" spans="1:26" ht="15" customHeight="1" thickBot="1" x14ac:dyDescent="0.25">
      <c r="A134" s="116"/>
      <c r="B134" s="583"/>
      <c r="C134" s="584"/>
      <c r="D134" s="584"/>
      <c r="E134" s="584"/>
      <c r="F134" s="584"/>
      <c r="G134" s="585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885"/>
      <c r="X134" s="855"/>
      <c r="Y134" s="855"/>
      <c r="Z134" s="886"/>
    </row>
    <row r="135" spans="1:26" ht="15" customHeight="1" thickBot="1" x14ac:dyDescent="0.25">
      <c r="A135" s="116"/>
      <c r="B135" s="1109" t="s">
        <v>748</v>
      </c>
      <c r="C135" s="1110"/>
      <c r="D135" s="1110"/>
      <c r="E135" s="1110"/>
      <c r="F135" s="1110"/>
      <c r="G135" s="1111"/>
      <c r="H135" s="225" t="s">
        <v>712</v>
      </c>
      <c r="I135" s="223" t="s">
        <v>10</v>
      </c>
      <c r="J135" s="250"/>
      <c r="K135" s="251"/>
      <c r="L135" s="903" t="s">
        <v>750</v>
      </c>
      <c r="M135" s="1156"/>
      <c r="N135" s="1157"/>
      <c r="O135" s="1158"/>
      <c r="P135" s="1159"/>
      <c r="Q135" s="1158"/>
      <c r="R135" s="1159"/>
      <c r="S135" s="1158"/>
      <c r="T135" s="1156"/>
      <c r="U135" s="904"/>
      <c r="W135" s="885"/>
      <c r="X135" s="855"/>
      <c r="Y135" s="855"/>
      <c r="Z135" s="886"/>
    </row>
    <row r="136" spans="1:26" ht="15" customHeight="1" x14ac:dyDescent="0.2">
      <c r="A136" s="116"/>
      <c r="B136" s="533" t="s">
        <v>139</v>
      </c>
      <c r="C136" s="534"/>
      <c r="D136" s="534"/>
      <c r="E136" s="534"/>
      <c r="F136" s="534"/>
      <c r="G136" s="535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885"/>
      <c r="X136" s="855"/>
      <c r="Y136" s="855"/>
      <c r="Z136" s="886"/>
    </row>
    <row r="137" spans="1:26" ht="15" customHeight="1" thickBot="1" x14ac:dyDescent="0.25">
      <c r="A137" s="116"/>
      <c r="B137" s="583" t="s">
        <v>138</v>
      </c>
      <c r="C137" s="584"/>
      <c r="D137" s="584"/>
      <c r="E137" s="584"/>
      <c r="F137" s="584"/>
      <c r="G137" s="585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26"/>
      <c r="X137" s="1127"/>
      <c r="Y137" s="1127"/>
      <c r="Z137" s="1128"/>
    </row>
    <row r="138" spans="1:26" ht="15" customHeight="1" x14ac:dyDescent="0.2">
      <c r="A138" s="116"/>
      <c r="B138" s="562" t="s">
        <v>676</v>
      </c>
      <c r="C138" s="563"/>
      <c r="D138" s="563"/>
      <c r="E138" s="563"/>
      <c r="F138" s="563"/>
      <c r="G138" s="564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856" t="s">
        <v>756</v>
      </c>
      <c r="X138" s="857"/>
      <c r="Y138" s="857"/>
      <c r="Z138" s="858"/>
    </row>
    <row r="139" spans="1:26" ht="15" customHeight="1" x14ac:dyDescent="0.2">
      <c r="A139" s="116"/>
      <c r="B139" s="565" t="s">
        <v>131</v>
      </c>
      <c r="C139" s="566"/>
      <c r="D139" s="566"/>
      <c r="E139" s="566"/>
      <c r="F139" s="566"/>
      <c r="G139" s="567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859"/>
      <c r="X139" s="860"/>
      <c r="Y139" s="860"/>
      <c r="Z139" s="861"/>
    </row>
    <row r="140" spans="1:26" ht="15" customHeight="1" x14ac:dyDescent="0.2">
      <c r="A140" s="116"/>
      <c r="B140" s="565" t="s">
        <v>132</v>
      </c>
      <c r="C140" s="566"/>
      <c r="D140" s="566"/>
      <c r="E140" s="566"/>
      <c r="F140" s="566"/>
      <c r="G140" s="567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859"/>
      <c r="X140" s="860"/>
      <c r="Y140" s="860"/>
      <c r="Z140" s="861"/>
    </row>
    <row r="141" spans="1:26" ht="15" customHeight="1" x14ac:dyDescent="0.2">
      <c r="A141" s="116"/>
      <c r="B141" s="624" t="s">
        <v>133</v>
      </c>
      <c r="C141" s="625"/>
      <c r="D141" s="625"/>
      <c r="E141" s="625"/>
      <c r="F141" s="625"/>
      <c r="G141" s="626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859"/>
      <c r="X141" s="860"/>
      <c r="Y141" s="860"/>
      <c r="Z141" s="861"/>
    </row>
    <row r="142" spans="1:26" ht="15" customHeight="1" thickBot="1" x14ac:dyDescent="0.25">
      <c r="A142" s="116"/>
      <c r="B142" s="1101" t="s">
        <v>134</v>
      </c>
      <c r="C142" s="1102"/>
      <c r="D142" s="1102"/>
      <c r="E142" s="1102"/>
      <c r="F142" s="1102"/>
      <c r="G142" s="1103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862"/>
      <c r="X142" s="863"/>
      <c r="Y142" s="863"/>
      <c r="Z142" s="864"/>
    </row>
    <row r="143" spans="1:26" x14ac:dyDescent="0.2">
      <c r="B143" s="462" t="s">
        <v>700</v>
      </c>
      <c r="C143" s="463"/>
      <c r="D143" s="463"/>
      <c r="E143" s="463"/>
      <c r="F143" s="463"/>
      <c r="G143" s="464"/>
      <c r="H143" s="139"/>
      <c r="I143" s="140" t="s">
        <v>701</v>
      </c>
      <c r="J143" s="246" t="s">
        <v>21</v>
      </c>
      <c r="K143" s="260">
        <v>1</v>
      </c>
      <c r="L143" s="674"/>
      <c r="M143" s="675"/>
      <c r="N143" s="675"/>
      <c r="O143" s="675"/>
      <c r="P143" s="675"/>
      <c r="Q143" s="675"/>
      <c r="R143" s="675"/>
      <c r="S143" s="675"/>
      <c r="T143" s="675"/>
      <c r="U143" s="676"/>
    </row>
    <row r="144" spans="1:26" x14ac:dyDescent="0.2">
      <c r="B144" s="1104" t="s">
        <v>702</v>
      </c>
      <c r="C144" s="1105"/>
      <c r="D144" s="1105"/>
      <c r="E144" s="1105"/>
      <c r="F144" s="1105"/>
      <c r="G144" s="1105"/>
      <c r="H144" s="197"/>
      <c r="I144" s="224" t="s">
        <v>703</v>
      </c>
      <c r="J144" s="261" t="s">
        <v>21</v>
      </c>
      <c r="K144" s="262">
        <v>1</v>
      </c>
      <c r="L144" s="1106"/>
      <c r="M144" s="1107"/>
      <c r="N144" s="1107"/>
      <c r="O144" s="1107"/>
      <c r="P144" s="1107"/>
      <c r="Q144" s="1107"/>
      <c r="R144" s="1107"/>
      <c r="S144" s="1107"/>
      <c r="T144" s="1107"/>
      <c r="U144" s="1108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43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168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2022-11-07T22:37:39Z</dcterms:modified>
</cp:coreProperties>
</file>