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-prd-guido\FT_a_procesar\"/>
    </mc:Choice>
  </mc:AlternateContent>
  <bookViews>
    <workbookView xWindow="-105" yWindow="-105" windowWidth="23250" windowHeight="12570" activeTab="1"/>
  </bookViews>
  <sheets>
    <sheet name="GEOMETRAL" sheetId="31" r:id="rId1"/>
    <sheet name="FICHA CARGA" sheetId="15" r:id="rId2"/>
    <sheet name="TELAS" sheetId="33" r:id="rId3"/>
    <sheet name="AUX" sheetId="25" r:id="rId4"/>
    <sheet name="AUX MPG" sheetId="28" r:id="rId5"/>
    <sheet name="AUX NENA" sheetId="29" r:id="rId6"/>
    <sheet name="AUX VARON" sheetId="22" r:id="rId7"/>
    <sheet name="COD COLOR" sheetId="30" r:id="rId8"/>
    <sheet name="RUBROS Y GRUPOS" sheetId="26" r:id="rId9"/>
    <sheet name="AUXG" sheetId="27" r:id="rId10"/>
  </sheets>
  <definedNames>
    <definedName name="_xlnm._FilterDatabase" localSheetId="8" hidden="1">'RUBROS Y GRUPOS'!$A$1:$H$264</definedName>
    <definedName name="_xlnm.Print_Area" localSheetId="1">'FICHA CARGA'!$A$1:$U$105</definedName>
    <definedName name="_xlnm.Print_Area" localSheetId="0">GEOMETRAL!$A$1:$U$108</definedName>
    <definedName name="datos">AUXG!$A:$A</definedName>
    <definedName name="Print_Area" localSheetId="4">'AUX MPG'!$A$1:$U$130</definedName>
    <definedName name="Print_Area" localSheetId="5">'AUX NENA'!$A$1:$U$125</definedName>
    <definedName name="Print_Area" localSheetId="6">'AUX VARON'!$A$1:$U$113</definedName>
    <definedName name="Print_Area" localSheetId="1">'FICHA CARGA'!$A$1:$U$105</definedName>
    <definedName name="Print_Area" localSheetId="0">GEOMETRAL!$A$1:$U$103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7" i="15" l="1"/>
  <c r="P39" i="15" l="1"/>
  <c r="O39" i="15"/>
  <c r="N39" i="15"/>
  <c r="M39" i="15"/>
  <c r="L39" i="15"/>
  <c r="I94" i="15" l="1"/>
  <c r="I95" i="15"/>
  <c r="I96" i="15"/>
  <c r="I99" i="15"/>
  <c r="I100" i="15"/>
  <c r="I101" i="15"/>
  <c r="B102" i="15"/>
  <c r="I102" i="15" s="1"/>
  <c r="I103" i="15"/>
  <c r="B104" i="15"/>
  <c r="I104" i="15" s="1"/>
  <c r="B105" i="15"/>
  <c r="H1" i="31" l="1"/>
  <c r="X1" i="15"/>
  <c r="AH1" i="15"/>
  <c r="O1" i="31"/>
  <c r="M1" i="31"/>
  <c r="E1" i="31"/>
  <c r="B1" i="31"/>
  <c r="O49" i="22"/>
  <c r="O57" i="29"/>
  <c r="O49" i="29"/>
  <c r="J5" i="15"/>
  <c r="G3" i="15"/>
  <c r="AG2" i="15"/>
  <c r="AG3" i="15" s="1"/>
  <c r="B3" i="15" s="1"/>
  <c r="AI2" i="15"/>
  <c r="I20" i="15"/>
  <c r="AF20" i="15" s="1"/>
  <c r="I18" i="15"/>
  <c r="I16" i="15"/>
  <c r="I14" i="15"/>
  <c r="AF14" i="15" s="1"/>
  <c r="I12" i="15"/>
  <c r="AF12" i="15" s="1"/>
  <c r="I10" i="15"/>
  <c r="AF10" i="15" s="1"/>
  <c r="I8" i="15"/>
  <c r="AF8" i="15" s="1"/>
  <c r="I6" i="15"/>
  <c r="AF6" i="15" s="1"/>
  <c r="AF21" i="15"/>
  <c r="AF7" i="15"/>
  <c r="AF9" i="15"/>
  <c r="AF11" i="15"/>
  <c r="AF13" i="15"/>
  <c r="AF15" i="15"/>
  <c r="A6" i="31"/>
  <c r="AF6" i="31" s="1"/>
  <c r="G6" i="31"/>
  <c r="B21" i="15"/>
  <c r="B19" i="15"/>
  <c r="B17" i="15"/>
  <c r="J6" i="31"/>
  <c r="R6" i="31"/>
  <c r="N6" i="31"/>
  <c r="T3" i="31"/>
  <c r="P3" i="31"/>
  <c r="P2" i="31"/>
  <c r="G2" i="31"/>
  <c r="AI2" i="31" s="1"/>
  <c r="B2" i="31"/>
  <c r="AG2" i="31" s="1"/>
  <c r="AG3" i="31" s="1"/>
  <c r="T2" i="15"/>
  <c r="T2" i="31" s="1"/>
  <c r="AF17" i="31"/>
  <c r="AF16" i="31"/>
  <c r="AF15" i="31"/>
  <c r="AF14" i="31"/>
  <c r="AF13" i="31"/>
  <c r="AF12" i="31"/>
  <c r="AF11" i="31"/>
  <c r="AF10" i="31"/>
  <c r="AF9" i="31"/>
  <c r="AF8" i="31"/>
  <c r="AF7" i="31"/>
  <c r="N45" i="22"/>
  <c r="M45" i="22"/>
  <c r="L45" i="22"/>
  <c r="S49" i="22"/>
  <c r="R49" i="22"/>
  <c r="Q49" i="22"/>
  <c r="P49" i="22"/>
  <c r="S53" i="22"/>
  <c r="Q53" i="22"/>
  <c r="O53" i="22"/>
  <c r="M53" i="22"/>
  <c r="S65" i="29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/>
  <c r="R49" i="29"/>
  <c r="Q49" i="29"/>
  <c r="P49" i="29"/>
  <c r="N45" i="29"/>
  <c r="M45" i="29"/>
  <c r="L45" i="29"/>
  <c r="H220" i="26"/>
  <c r="P61" i="28"/>
  <c r="O61" i="28"/>
  <c r="N61" i="28"/>
  <c r="M61" i="28"/>
  <c r="L61" i="28"/>
  <c r="T61" i="29"/>
  <c r="B7" i="15"/>
  <c r="T49" i="22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26" i="15"/>
  <c r="I22" i="15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B15" i="15"/>
  <c r="B13" i="15"/>
  <c r="B11" i="15"/>
  <c r="B9" i="15"/>
  <c r="AI3" i="15"/>
  <c r="G3" i="3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/>
  <c r="I77" i="15"/>
  <c r="B3" i="31" l="1"/>
  <c r="AA11" i="15"/>
  <c r="AI3" i="31"/>
</calcChain>
</file>

<file path=xl/comments1.xml><?xml version="1.0" encoding="utf-8"?>
<comments xmlns="http://schemas.openxmlformats.org/spreadsheetml/2006/main">
  <authors>
    <author>Luz Valero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LETRA TEMP + AÑO
EJ: I23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MARCA:
GRISINO o BROER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LINEA: 
MPG
VARON 
NENA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
DE CC/CCA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CARTONES MAS USADOS
CÓDIGO SE AUTO COMPLETA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STICKER SE COMPLETA SOLO SI PUSE BORDADO O ESTAMPA
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PLANCHAS MAS USADAS
CÓDIGO SE AUTO COMPLETA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<sst xmlns="http://schemas.openxmlformats.org/spreadsheetml/2006/main" count="4077" uniqueCount="1361">
  <si>
    <t>CONFECCIÓN</t>
  </si>
  <si>
    <t>PLANCHA</t>
  </si>
  <si>
    <t>TELAS</t>
  </si>
  <si>
    <t>LAV</t>
  </si>
  <si>
    <t>GRUPO</t>
  </si>
  <si>
    <t>TALLES</t>
  </si>
  <si>
    <t>ESTAMPAS BORDADOS</t>
  </si>
  <si>
    <t>HILO</t>
  </si>
  <si>
    <t>GTS</t>
  </si>
  <si>
    <t>PROVEEDOR</t>
  </si>
  <si>
    <t>CODIGO</t>
  </si>
  <si>
    <t>CANT X U</t>
  </si>
  <si>
    <t>GRISINO</t>
  </si>
  <si>
    <t>XPC000</t>
  </si>
  <si>
    <t>XPP001</t>
  </si>
  <si>
    <t>XEB000</t>
  </si>
  <si>
    <t>XEC036</t>
  </si>
  <si>
    <t>XAE049</t>
  </si>
  <si>
    <t>XAL007</t>
  </si>
  <si>
    <t>XAL006</t>
  </si>
  <si>
    <t>Nombre:</t>
  </si>
  <si>
    <t>1</t>
  </si>
  <si>
    <t>MOLDERÍA</t>
  </si>
  <si>
    <t>ETIQUETA MARCA TALLE GRISINO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</si>
  <si>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</si>
  <si>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</si>
  <si>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</si>
  <si>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</si>
  <si>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</si>
  <si>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</si>
  <si>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</si>
  <si>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</si>
  <si>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</si>
  <si>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</si>
  <si>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</si>
  <si>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</si>
  <si>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</si>
  <si>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</si>
  <si>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</si>
  <si>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</si>
  <si>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</si>
  <si>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</si>
  <si>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</si>
  <si>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</si>
  <si>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</si>
  <si>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</si>
  <si>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</si>
  <si>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</si>
  <si>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</si>
  <si>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BOLSA MEDIANA 30X40</t>
  </si>
  <si>
    <t>BOLSA CHICA 25X35</t>
  </si>
  <si>
    <t>XEB001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</si>
  <si>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</si>
  <si>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</si>
  <si>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</si>
  <si>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</si>
  <si>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</si>
  <si>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</si>
  <si>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</si>
  <si>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</si>
  <si>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</si>
  <si>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</si>
  <si>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</si>
  <si>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</si>
  <si>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</si>
  <si>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</si>
  <si>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</si>
  <si>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</si>
  <si>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</si>
  <si>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</si>
  <si>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</si>
  <si>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</si>
  <si>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</si>
  <si>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</si>
  <si>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</si>
  <si>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</si>
  <si>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</si>
  <si>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</si>
  <si>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</si>
  <si>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</si>
  <si>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</si>
  <si>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</si>
  <si>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</si>
  <si>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</si>
  <si>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</si>
  <si>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</si>
  <si>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</si>
  <si>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</si>
  <si>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</si>
  <si>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</si>
  <si>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</si>
  <si>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</si>
  <si>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</si>
  <si>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</si>
  <si>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</si>
  <si>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</si>
  <si>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</si>
  <si>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</si>
  <si>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</si>
  <si>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</si>
  <si>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</si>
  <si>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</si>
  <si>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</si>
  <si>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</si>
  <si>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</si>
  <si>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</si>
  <si>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</si>
  <si>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</si>
  <si>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</si>
  <si>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</si>
  <si>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</si>
  <si>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</si>
  <si>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</si>
  <si>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</si>
  <si>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</si>
  <si>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</si>
  <si>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</si>
  <si>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</si>
  <si>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</si>
  <si>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</si>
  <si>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</si>
  <si>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</si>
  <si>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</si>
  <si>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</si>
  <si>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</si>
  <si>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</si>
  <si>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</si>
  <si>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</si>
  <si>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</si>
  <si>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</si>
  <si>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</si>
  <si>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</si>
  <si>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</si>
  <si>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</si>
  <si>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</si>
  <si>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</si>
  <si>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</si>
  <si>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</si>
  <si>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</si>
  <si>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</si>
  <si>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</si>
  <si>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</si>
  <si>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</si>
  <si>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</si>
  <si>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</si>
  <si>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</si>
  <si>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</si>
  <si>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</si>
  <si>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</si>
  <si>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</si>
  <si>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</si>
  <si>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</si>
  <si>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</si>
  <si>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</si>
  <si>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</si>
  <si>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</si>
  <si>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</si>
  <si>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</si>
  <si>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</si>
  <si>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</si>
  <si>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</si>
  <si>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</si>
  <si>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</si>
  <si>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</si>
  <si>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</si>
  <si>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</si>
  <si>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</si>
  <si>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</si>
  <si>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</si>
  <si>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</si>
  <si>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</si>
  <si>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</si>
  <si>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</si>
  <si>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</si>
  <si>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</si>
  <si>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</si>
  <si>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</si>
  <si>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</si>
  <si>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</si>
  <si>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</si>
  <si>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</si>
  <si>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</si>
  <si>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</si>
  <si>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</si>
  <si>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</si>
  <si>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</si>
  <si>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</si>
  <si>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</si>
  <si>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</si>
  <si>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</si>
  <si>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</si>
  <si>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</si>
  <si>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BOLSA GRANDE 35X45</t>
  </si>
  <si>
    <t>XEB002</t>
  </si>
  <si>
    <t>CODIGO QUE SE AUTO COMPLETA</t>
  </si>
  <si>
    <t>BOLSA MINI 25X25</t>
  </si>
  <si>
    <t>XEB010</t>
  </si>
  <si>
    <t>XEB517</t>
  </si>
  <si>
    <t>BOLSITA MPG CHICA</t>
  </si>
  <si>
    <t>XEB518</t>
  </si>
  <si>
    <t>BOLSITA MPG MEDIANA</t>
  </si>
  <si>
    <t>XEB519</t>
  </si>
  <si>
    <t>BOLSITA MPG GRANDE</t>
  </si>
  <si>
    <t>XEB520</t>
  </si>
  <si>
    <t xml:space="preserve">BOLSITA GRISINO MUNDO INTERIOR </t>
  </si>
  <si>
    <t>XEB521</t>
  </si>
  <si>
    <t>BOLSITA GRISINO ACCESORIOS</t>
  </si>
  <si>
    <t>XEB522</t>
  </si>
  <si>
    <t>ENVASE PVC BAMBU</t>
  </si>
  <si>
    <t>EMPAQUES MAS USADOS</t>
  </si>
  <si>
    <t>XEB011</t>
  </si>
  <si>
    <t>BOLSA ESPECIAL MOCHILAS Y BOLSOS MAMÁ 60X80</t>
  </si>
  <si>
    <t>XAE090</t>
  </si>
  <si>
    <t>XAE050</t>
  </si>
  <si>
    <t>XAE051</t>
  </si>
  <si>
    <t>XAE054</t>
  </si>
  <si>
    <t>XAE062</t>
  </si>
  <si>
    <t>UNICO</t>
  </si>
  <si>
    <t>TALLE UNICO</t>
  </si>
  <si>
    <t>ETIQUETA TALLE CAMPERAS GRISINO</t>
  </si>
  <si>
    <t>ESTIQUETA TALLE MUNDO INTERIOR</t>
  </si>
  <si>
    <t>ETIQUETA TALLE PIJAMAS</t>
  </si>
  <si>
    <t>ETIQUETA MARCA TALLE MPG</t>
  </si>
  <si>
    <t>ETIQUETA TALLE CAMPERAS MPG</t>
  </si>
  <si>
    <t>E</t>
  </si>
  <si>
    <t>XEC001</t>
  </si>
  <si>
    <t>CARTON MPG</t>
  </si>
  <si>
    <t>XEC006</t>
  </si>
  <si>
    <t>XEC010</t>
  </si>
  <si>
    <t>CARTON COLE MEDIAS</t>
  </si>
  <si>
    <t>XEC021</t>
  </si>
  <si>
    <t>CARTON ACCESORIOS MPG</t>
  </si>
  <si>
    <t>XEC022</t>
  </si>
  <si>
    <t>CARTON MEDIAS MPG</t>
  </si>
  <si>
    <t>XEC028</t>
  </si>
  <si>
    <t>CARTON ROPA GRISINO</t>
  </si>
  <si>
    <t>XEC037</t>
  </si>
  <si>
    <t>CARTON ACCESORIOS GRISINO</t>
  </si>
  <si>
    <t>XEC042</t>
  </si>
  <si>
    <t>CARTON GLOW LOS GRSINOS</t>
  </si>
  <si>
    <t>XEC043</t>
  </si>
  <si>
    <t>CARTON PIJAMA GRISINO</t>
  </si>
  <si>
    <t>XEC045</t>
  </si>
  <si>
    <t>CARTON PROTECCION UV GRISINO</t>
  </si>
  <si>
    <t>XEC046</t>
  </si>
  <si>
    <t>CARTON SOLARMAX LYCRA</t>
  </si>
  <si>
    <t>XEC048</t>
  </si>
  <si>
    <t>CARTON GLOW</t>
  </si>
  <si>
    <t>XEC049</t>
  </si>
  <si>
    <t>CARTON BAMBÚ</t>
  </si>
  <si>
    <t>XEC050</t>
  </si>
  <si>
    <t>CARTON INTERACTIVO</t>
  </si>
  <si>
    <t>XEC051</t>
  </si>
  <si>
    <t>CARTON ACCESORIOS VINCHAS Y COLITAS</t>
  </si>
  <si>
    <t>XEC052</t>
  </si>
  <si>
    <t>CARTON TIC TAC</t>
  </si>
  <si>
    <t>CARTON MEDIAS GRISINO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</si>
  <si>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</si>
  <si>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</si>
  <si>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</si>
  <si>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</si>
  <si>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</si>
  <si>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</si>
  <si>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</si>
  <si>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BABEROS, MANTAS, BABITAS</t>
  </si>
  <si>
    <t>ETIQUETA NUMEROS GRISINO</t>
  </si>
  <si>
    <t>ETIQUETA NUMEROS MPG</t>
  </si>
  <si>
    <t>XAE096</t>
  </si>
  <si>
    <t>DESCRIPCION</t>
  </si>
  <si>
    <t>DETALLE QUE SE DESPLIEGA</t>
  </si>
  <si>
    <t>B18</t>
  </si>
  <si>
    <t>B22</t>
  </si>
  <si>
    <t>B25</t>
  </si>
  <si>
    <t>B27</t>
  </si>
  <si>
    <t>B29</t>
  </si>
  <si>
    <t>B91, B92 y B93</t>
  </si>
  <si>
    <t>CARTON LOS GRISINOS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</si>
  <si>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</si>
  <si>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</si>
  <si>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</si>
  <si>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</si>
  <si>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</si>
  <si>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</si>
  <si>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</si>
  <si>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</si>
  <si>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</si>
  <si>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</si>
  <si>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</si>
  <si>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</si>
  <si>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</si>
  <si>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</si>
  <si>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</si>
  <si>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</si>
  <si>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</si>
  <si>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</si>
  <si>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</si>
  <si>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</si>
  <si>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</si>
  <si>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</si>
  <si>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</si>
  <si>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</si>
  <si>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</si>
  <si>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</si>
  <si>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</si>
  <si>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</si>
  <si>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</si>
  <si>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</si>
  <si>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</si>
  <si>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</si>
  <si>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</si>
  <si>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</si>
  <si>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</si>
  <si>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</si>
  <si>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</si>
  <si>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</si>
  <si>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</si>
  <si>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</si>
  <si>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</si>
  <si>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</si>
  <si>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</si>
  <si>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</si>
  <si>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</si>
  <si>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</si>
  <si>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</si>
  <si>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</si>
  <si>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</si>
  <si>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</si>
  <si>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</si>
  <si>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</si>
  <si>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</si>
  <si>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</si>
  <si>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</si>
  <si>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</si>
  <si>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</si>
  <si>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</si>
  <si>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</si>
  <si>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</si>
  <si>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</si>
  <si>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</si>
  <si>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</si>
  <si>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</si>
  <si>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</si>
  <si>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</si>
  <si>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</si>
  <si>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</si>
  <si>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</si>
  <si>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</si>
  <si>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</si>
  <si>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</si>
  <si>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</si>
  <si>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</si>
  <si>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</si>
  <si>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</si>
  <si>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</si>
  <si>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</si>
  <si>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</si>
  <si>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</si>
  <si>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</si>
  <si>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</si>
  <si>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</si>
  <si>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</si>
  <si>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</si>
  <si>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</si>
  <si>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</si>
  <si>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</si>
  <si>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</si>
  <si>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</si>
  <si>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</si>
  <si>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</si>
  <si>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</si>
  <si>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</si>
  <si>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</si>
  <si>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</si>
  <si>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</si>
  <si>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</si>
  <si>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</si>
  <si>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</si>
  <si>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</si>
  <si>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</si>
  <si>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</si>
  <si>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</si>
  <si>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</si>
  <si>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</si>
  <si>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</si>
  <si>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</si>
  <si>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</si>
  <si>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</si>
  <si>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</si>
  <si>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</si>
  <si>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</si>
  <si>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</si>
  <si>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</si>
  <si>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</si>
  <si>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</si>
  <si>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</si>
  <si>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</si>
  <si>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</si>
  <si>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</si>
  <si>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</si>
  <si>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</si>
  <si>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</si>
  <si>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</si>
  <si>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</si>
  <si>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</si>
  <si>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</si>
  <si>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</si>
  <si>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</si>
  <si>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</si>
  <si>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</si>
  <si>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</si>
  <si>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</si>
  <si>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</si>
  <si>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</si>
  <si>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</si>
  <si>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</si>
  <si>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</si>
  <si>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</si>
  <si>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</si>
  <si>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</si>
  <si>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</si>
  <si>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</si>
  <si>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</si>
  <si>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</si>
  <si>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</si>
  <si>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</si>
  <si>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</si>
  <si>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</si>
  <si>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</si>
  <si>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</si>
  <si>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</si>
  <si>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</si>
  <si>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</si>
  <si>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</si>
  <si>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</si>
  <si>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</si>
  <si>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</si>
  <si>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</si>
  <si>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</si>
  <si>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</si>
  <si>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</si>
  <si>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</si>
  <si>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</si>
  <si>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</si>
  <si>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</si>
  <si>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</si>
  <si>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</si>
  <si>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</si>
  <si>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</si>
  <si>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</si>
  <si>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</si>
  <si>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</si>
  <si>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</si>
  <si>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</si>
  <si>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</si>
  <si>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</si>
  <si>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</si>
  <si>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</si>
  <si>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</si>
  <si>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</si>
  <si>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</si>
  <si>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</si>
  <si>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</si>
  <si>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</si>
  <si>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</si>
  <si>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</si>
  <si>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</si>
  <si>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</si>
  <si>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</si>
  <si>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</si>
  <si>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</si>
  <si>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</si>
  <si>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</si>
  <si>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</si>
  <si>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</si>
  <si>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</si>
  <si>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</si>
  <si>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</si>
  <si>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</si>
  <si>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</si>
  <si>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</si>
  <si>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</si>
  <si>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</si>
  <si>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</si>
  <si>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</si>
  <si>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</si>
  <si>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</si>
  <si>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</si>
  <si>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</si>
  <si>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</si>
  <si>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</si>
  <si>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</si>
  <si>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</si>
  <si>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</si>
  <si>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</si>
  <si>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</si>
  <si>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</si>
  <si>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</si>
  <si>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</si>
  <si>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</si>
  <si>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</si>
  <si>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</si>
  <si>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</si>
  <si>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</si>
  <si>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</si>
  <si>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</si>
  <si>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</si>
  <si>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</si>
  <si>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</si>
  <si>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</si>
  <si>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</si>
  <si>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</si>
  <si>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</si>
  <si>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</si>
  <si>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</si>
  <si>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</si>
  <si>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</si>
  <si>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</si>
  <si>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</si>
  <si>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</si>
  <si>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</si>
  <si>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</si>
  <si>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</si>
  <si>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</si>
  <si>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</si>
  <si>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</si>
  <si>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</si>
  <si>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</si>
  <si>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</si>
  <si>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</si>
  <si>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</si>
  <si>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</si>
  <si>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</si>
  <si>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</si>
  <si>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</si>
  <si>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</si>
  <si>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</si>
  <si>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</si>
  <si>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</si>
  <si>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</si>
  <si>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</si>
  <si>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</si>
  <si>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</si>
  <si>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</si>
  <si>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</si>
  <si>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</si>
  <si>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</si>
  <si>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</si>
  <si>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</si>
  <si>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</si>
  <si>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</si>
  <si>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</si>
  <si>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</si>
  <si>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</si>
  <si>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</si>
  <si>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</si>
  <si>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</si>
  <si>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</si>
  <si>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</si>
  <si>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</si>
  <si>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</si>
  <si>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</si>
  <si>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</si>
  <si>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</si>
  <si>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</si>
  <si>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</si>
  <si>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</si>
  <si>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</si>
  <si>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</si>
  <si>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</si>
  <si>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</si>
  <si>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</si>
  <si>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</si>
  <si>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</si>
  <si>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</si>
  <si>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</si>
  <si>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</si>
  <si>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</si>
  <si>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</si>
  <si>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</si>
  <si>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</si>
  <si>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</si>
  <si>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</si>
  <si>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</si>
  <si>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</si>
  <si>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</si>
  <si>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</si>
  <si>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</si>
  <si>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</si>
  <si>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</si>
  <si>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</si>
  <si>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</si>
  <si>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</si>
  <si>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</si>
  <si>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</si>
  <si>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</si>
  <si>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</si>
  <si>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</si>
  <si>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</si>
  <si>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</si>
  <si>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</si>
  <si>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</si>
  <si>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</si>
  <si>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</si>
  <si>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</si>
  <si>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</si>
  <si>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</si>
  <si>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</si>
  <si>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</si>
  <si>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</si>
  <si>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</si>
  <si>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</si>
  <si>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</si>
  <si>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</si>
  <si>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</si>
  <si>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</si>
  <si>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</si>
  <si>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</si>
  <si>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</si>
  <si>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</si>
  <si>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</si>
  <si>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</si>
  <si>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</si>
  <si>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</si>
  <si>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</si>
  <si>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</si>
  <si>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</si>
  <si>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</si>
  <si>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</si>
  <si>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</si>
  <si>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</si>
  <si>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</si>
  <si>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</si>
  <si>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</si>
  <si>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</si>
  <si>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</si>
  <si>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</si>
  <si>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</si>
  <si>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</si>
  <si>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</si>
  <si>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</si>
  <si>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</si>
  <si>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</si>
  <si>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</si>
  <si>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</si>
  <si>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</si>
  <si>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</si>
  <si>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</si>
  <si>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</si>
  <si>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</si>
  <si>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</si>
  <si>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</si>
  <si>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</si>
  <si>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</si>
  <si>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</si>
  <si>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</si>
  <si>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</si>
  <si>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</si>
  <si>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</si>
  <si>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</si>
  <si>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</si>
  <si>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</si>
  <si>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</si>
  <si>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</si>
  <si>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</si>
  <si>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</si>
  <si>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</si>
  <si>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</si>
  <si>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</si>
  <si>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</si>
  <si>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</si>
  <si>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</si>
  <si>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</si>
  <si>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</si>
  <si>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</si>
  <si>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</si>
  <si>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</si>
  <si>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</si>
  <si>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</si>
  <si>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</si>
  <si>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</si>
  <si>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</si>
  <si>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</si>
  <si>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</si>
  <si>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</si>
  <si>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</si>
  <si>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</si>
  <si>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</si>
  <si>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</si>
  <si>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</si>
  <si>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</si>
  <si>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</si>
  <si>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</si>
  <si>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</si>
  <si>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</si>
  <si>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</si>
  <si>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</si>
  <si>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</si>
  <si>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</si>
  <si>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</si>
  <si>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</si>
  <si>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</si>
  <si>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</si>
  <si>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</si>
  <si>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</si>
  <si>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</si>
  <si>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</si>
  <si>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</si>
  <si>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</si>
  <si>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</si>
  <si>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</si>
  <si>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</si>
  <si>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</si>
  <si>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</si>
  <si>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</si>
  <si>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</si>
  <si>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</si>
  <si>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</si>
  <si>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</si>
  <si>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</si>
  <si>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</si>
  <si>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</si>
  <si>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</si>
  <si>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</si>
  <si>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</si>
  <si>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</si>
  <si>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</si>
  <si>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</si>
  <si>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</si>
  <si>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</si>
  <si>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</si>
  <si>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</si>
  <si>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</si>
  <si>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</si>
  <si>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</si>
  <si>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</si>
  <si>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</si>
  <si>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</si>
  <si>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</si>
  <si>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</si>
  <si>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</si>
  <si>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</si>
  <si>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</si>
  <si>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</si>
  <si>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</si>
  <si>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</si>
  <si>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</si>
  <si>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</si>
  <si>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</si>
  <si>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</si>
  <si>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</si>
  <si>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</si>
  <si>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</si>
  <si>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</si>
  <si>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</si>
  <si>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</si>
  <si>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</si>
  <si>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</si>
  <si>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</si>
  <si>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</si>
  <si>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</si>
  <si>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</si>
  <si>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</si>
  <si>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</si>
  <si>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</si>
  <si>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</si>
  <si>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</si>
  <si>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</si>
  <si>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</si>
  <si>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</si>
  <si>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</si>
  <si>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</si>
  <si>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</si>
  <si>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</si>
  <si>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</si>
  <si>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</si>
  <si>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</si>
  <si>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</si>
  <si>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</si>
  <si>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</si>
  <si>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</si>
  <si>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</si>
  <si>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</si>
  <si>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</si>
  <si>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</si>
  <si>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</si>
  <si>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</si>
  <si>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</si>
  <si>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</si>
  <si>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</si>
  <si>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</si>
  <si>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</si>
  <si>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</si>
  <si>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</si>
  <si>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</si>
  <si>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</si>
  <si>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</si>
  <si>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</si>
  <si>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</si>
  <si>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</si>
  <si>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</si>
  <si>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</si>
  <si>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</si>
  <si>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</si>
  <si>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</si>
  <si>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DESPLEGABLES BOLSAS CC/CCA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</si>
  <si>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</si>
  <si>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</si>
  <si>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</si>
  <si>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</si>
  <si>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</si>
  <si>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</si>
  <si>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</si>
  <si>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</si>
  <si>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</si>
  <si>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</si>
  <si>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</si>
  <si>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</si>
  <si>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</si>
  <si>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</si>
  <si>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</si>
  <si>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</si>
  <si>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</si>
  <si>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</si>
  <si>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</si>
  <si>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</si>
  <si>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</si>
  <si>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</si>
  <si>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</si>
  <si>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</si>
  <si>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</si>
  <si>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</si>
  <si>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</si>
  <si>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</si>
  <si>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</si>
  <si>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</si>
  <si>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</si>
  <si>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</si>
  <si>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</si>
  <si>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</si>
  <si>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</si>
  <si>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</si>
  <si>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</si>
  <si>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</si>
  <si>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</si>
  <si>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</si>
  <si>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</si>
  <si>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</si>
  <si>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</si>
  <si>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</si>
  <si>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</si>
  <si>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</si>
  <si>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</si>
  <si>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</si>
  <si>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</si>
  <si>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</si>
  <si>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</si>
  <si>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</si>
  <si>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</si>
  <si>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</si>
  <si>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</si>
  <si>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</si>
  <si>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</si>
  <si>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</si>
  <si>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</si>
  <si>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</si>
  <si>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</si>
  <si>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</si>
  <si>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</si>
  <si>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</si>
  <si>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</si>
  <si>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</si>
  <si>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</si>
  <si>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</si>
  <si>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</si>
  <si>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</si>
  <si>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</si>
  <si>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</si>
  <si>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</si>
  <si>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</si>
  <si>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</si>
  <si>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</si>
  <si>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</si>
  <si>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</si>
  <si>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</si>
  <si>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</si>
  <si>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</si>
  <si>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</si>
  <si>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</si>
  <si>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</si>
  <si>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</si>
  <si>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</si>
  <si>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</si>
  <si>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</si>
  <si>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</si>
  <si>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</si>
  <si>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</si>
  <si>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</si>
  <si>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</si>
  <si>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</si>
  <si>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</si>
  <si>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</si>
  <si>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</si>
  <si>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</si>
  <si>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</si>
  <si>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</si>
  <si>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</si>
  <si>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</si>
  <si>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</si>
  <si>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</si>
  <si>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</si>
  <si>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</si>
  <si>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</si>
  <si>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</si>
  <si>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</si>
  <si>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</si>
  <si>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</si>
  <si>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</si>
  <si>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</si>
  <si>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</si>
  <si>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</si>
  <si>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</si>
  <si>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</si>
  <si>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</si>
  <si>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</si>
  <si>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</si>
  <si>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</si>
  <si>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</si>
  <si>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</si>
  <si>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</si>
  <si>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</si>
  <si>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</si>
  <si>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</si>
  <si>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</si>
  <si>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</si>
  <si>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</si>
  <si>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</si>
  <si>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</si>
  <si>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</si>
  <si>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</si>
  <si>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</si>
  <si>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</si>
  <si>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</si>
  <si>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</si>
  <si>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</si>
  <si>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</si>
  <si>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</si>
  <si>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</si>
  <si>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</si>
  <si>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</si>
  <si>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</si>
  <si>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</si>
  <si>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</si>
  <si>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</si>
  <si>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</si>
  <si>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</si>
  <si>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</si>
  <si>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</si>
  <si>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</si>
  <si>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</si>
  <si>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</si>
  <si>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</si>
  <si>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</si>
  <si>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</si>
  <si>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</si>
  <si>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</si>
  <si>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</si>
  <si>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</si>
  <si>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</si>
  <si>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</si>
  <si>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</si>
  <si>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</si>
  <si>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</si>
  <si>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</si>
  <si>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</si>
  <si>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</si>
  <si>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</si>
  <si>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</si>
  <si>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</si>
  <si>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</si>
  <si>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</si>
  <si>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</si>
  <si>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</si>
  <si>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</si>
  <si>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</si>
  <si>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</si>
  <si>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</si>
  <si>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</si>
  <si>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</si>
  <si>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</si>
  <si>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</si>
  <si>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</si>
  <si>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</si>
  <si>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</si>
  <si>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</si>
  <si>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</si>
  <si>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</si>
  <si>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</si>
  <si>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</si>
  <si>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</si>
  <si>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</si>
  <si>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</si>
  <si>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</si>
  <si>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</si>
  <si>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</si>
  <si>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</si>
  <si>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</si>
  <si>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</si>
  <si>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</si>
  <si>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</si>
  <si>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</si>
  <si>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</si>
  <si>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</si>
  <si>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</si>
  <si>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</si>
  <si>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</si>
  <si>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</si>
  <si>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</si>
  <si>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</si>
  <si>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</si>
  <si>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</si>
  <si>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</si>
  <si>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</si>
  <si>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</si>
  <si>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</si>
  <si>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</si>
  <si>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</si>
  <si>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</si>
  <si>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</si>
  <si>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</si>
  <si>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</si>
  <si>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</si>
  <si>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</si>
  <si>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</si>
  <si>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</si>
  <si>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</si>
  <si>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</si>
  <si>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</si>
  <si>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</si>
  <si>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</si>
  <si>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</si>
  <si>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</si>
  <si>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</si>
  <si>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</si>
  <si>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</si>
  <si>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</si>
  <si>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</si>
  <si>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</si>
  <si>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</si>
  <si>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</si>
  <si>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</si>
  <si>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</si>
  <si>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</si>
  <si>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</si>
  <si>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</si>
  <si>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</si>
  <si>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</si>
  <si>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</si>
  <si>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</si>
  <si>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</si>
  <si>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</si>
  <si>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</si>
  <si>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</si>
  <si>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</si>
  <si>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</si>
  <si>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</si>
  <si>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</si>
  <si>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</si>
  <si>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</si>
  <si>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</si>
  <si>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</si>
  <si>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</si>
  <si>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</si>
  <si>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</si>
  <si>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</si>
  <si>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</si>
  <si>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</si>
  <si>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</si>
  <si>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</si>
  <si>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</si>
  <si>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</si>
  <si>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</si>
  <si>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</si>
  <si>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</si>
  <si>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</si>
  <si>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</si>
  <si>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</si>
  <si>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</si>
  <si>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</si>
  <si>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</si>
  <si>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</si>
  <si>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</si>
  <si>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</si>
  <si>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</si>
  <si>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</si>
  <si>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</si>
  <si>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</si>
  <si>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</si>
  <si>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</si>
  <si>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</si>
  <si>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</si>
  <si>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</si>
  <si>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</si>
  <si>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</si>
  <si>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</si>
  <si>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</si>
  <si>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</si>
  <si>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</si>
  <si>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</si>
  <si>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</si>
  <si>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</si>
  <si>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</si>
  <si>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</si>
  <si>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</si>
  <si>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</si>
  <si>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</si>
  <si>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</si>
  <si>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</si>
  <si>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</si>
  <si>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</si>
  <si>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</si>
  <si>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</si>
  <si>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</si>
  <si>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</si>
  <si>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</si>
  <si>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</si>
  <si>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</si>
  <si>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</si>
  <si>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</si>
  <si>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</si>
  <si>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</si>
  <si>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</si>
  <si>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</si>
  <si>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</si>
  <si>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</si>
  <si>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</si>
  <si>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</si>
  <si>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</si>
  <si>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</si>
  <si>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</si>
  <si>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</si>
  <si>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</si>
  <si>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</si>
  <si>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</si>
  <si>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</si>
  <si>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</si>
  <si>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</si>
  <si>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</si>
  <si>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</si>
  <si>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</si>
  <si>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</si>
  <si>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</si>
  <si>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</si>
  <si>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</si>
  <si>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</si>
  <si>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</si>
  <si>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</si>
  <si>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</si>
  <si>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</si>
  <si>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</si>
  <si>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</si>
  <si>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</si>
  <si>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</si>
  <si>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</si>
  <si>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</si>
  <si>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</si>
  <si>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</si>
  <si>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</si>
  <si>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</si>
  <si>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</si>
  <si>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</si>
  <si>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</si>
  <si>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</si>
  <si>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</si>
  <si>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</si>
  <si>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</si>
  <si>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</si>
  <si>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</si>
  <si>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</si>
  <si>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</si>
  <si>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</si>
  <si>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</si>
  <si>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</si>
  <si>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</si>
  <si>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</si>
  <si>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</si>
  <si>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</si>
  <si>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</si>
  <si>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</si>
  <si>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</si>
  <si>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</si>
  <si>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</si>
  <si>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</si>
  <si>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</si>
  <si>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</si>
  <si>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</si>
  <si>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</si>
  <si>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</si>
  <si>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</si>
  <si>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</si>
  <si>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</si>
  <si>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</si>
  <si>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</si>
  <si>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</si>
  <si>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</si>
  <si>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</si>
  <si>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</si>
  <si>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</si>
  <si>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</si>
  <si>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</si>
  <si>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</si>
  <si>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</si>
  <si>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</si>
  <si>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</si>
  <si>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</si>
  <si>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</si>
  <si>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</si>
  <si>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</si>
  <si>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</si>
  <si>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</si>
  <si>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</si>
  <si>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</si>
  <si>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</si>
  <si>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</si>
  <si>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</si>
  <si>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</si>
  <si>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</si>
  <si>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</si>
  <si>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</si>
  <si>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</si>
  <si>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</si>
  <si>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</si>
  <si>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</si>
  <si>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</si>
  <si>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</si>
  <si>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</si>
  <si>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</si>
  <si>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</si>
  <si>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</si>
  <si>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</si>
  <si>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</si>
  <si>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</si>
  <si>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</si>
  <si>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</si>
  <si>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</si>
  <si>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</si>
  <si>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</si>
  <si>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</si>
  <si>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BUZOS Y CANGUROS C3 Y C4, ABRIGOS PESADOS NENA VARON</t>
  </si>
  <si>
    <t>REMERAS C1 Y C2, CALZAS, PANTALONES C1 Y C2 T SHORTS, VESTIDOS C2</t>
  </si>
  <si>
    <t>REMERAS C3 Y C4, VESTIDOS C4, PANTALONES C3 Y C4, BUZOS Y CANGUROS C1 Y C2, ABRIGOS PESADOS MPG, MANTAS, CONJUNTOS</t>
  </si>
  <si>
    <t>TODO MPG, SALVO CONJUNTOS ABRIGOS PESADOS Y MANTAS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</si>
  <si>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</si>
  <si>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</si>
  <si>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</si>
  <si>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</si>
  <si>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</si>
  <si>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</si>
  <si>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</si>
  <si>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</si>
  <si>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</si>
  <si>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</si>
  <si>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</si>
  <si>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</si>
  <si>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</si>
  <si>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</si>
  <si>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</si>
  <si>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</si>
  <si>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</si>
  <si>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</si>
  <si>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</si>
  <si>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</si>
  <si>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</si>
  <si>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</si>
  <si>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</si>
  <si>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</si>
  <si>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</si>
  <si>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</si>
  <si>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</si>
  <si>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</si>
  <si>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</si>
  <si>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</si>
  <si>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</si>
  <si>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</si>
  <si>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</si>
  <si>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</si>
  <si>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</si>
  <si>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</si>
  <si>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</si>
  <si>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</si>
  <si>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</si>
  <si>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</si>
  <si>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</si>
  <si>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</si>
  <si>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</si>
  <si>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</si>
  <si>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</si>
  <si>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</si>
  <si>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</si>
  <si>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</si>
  <si>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</si>
  <si>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</si>
  <si>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</si>
  <si>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</si>
  <si>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</si>
  <si>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</si>
  <si>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</si>
  <si>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</si>
  <si>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</si>
  <si>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</si>
  <si>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</si>
  <si>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A - B - C - D - E</t>
  </si>
  <si>
    <t>1 - 2 - 3 - 4</t>
  </si>
  <si>
    <t>6 - 8  - 10 - 12 - 14</t>
  </si>
  <si>
    <t>2 - 4.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</si>
  <si>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</si>
  <si>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</si>
  <si>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</si>
  <si>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</si>
  <si>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</si>
  <si>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</si>
  <si>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MPG</t>
  </si>
  <si>
    <t>ROPA NENA VARON</t>
  </si>
  <si>
    <t>XAE216</t>
  </si>
  <si>
    <t>Nº de referencia:</t>
  </si>
  <si>
    <t>AUX NºREF:</t>
  </si>
  <si>
    <t>imprimir preficha igual</t>
  </si>
  <si>
    <t>FECHA</t>
  </si>
  <si>
    <t>DISEÑADORA</t>
  </si>
  <si>
    <t>MODELISTA</t>
  </si>
  <si>
    <t>ACLARACIONES PARA MOLDERÍA</t>
  </si>
  <si>
    <t>imprimir ficha final pagina 1 y dos pero doble cara OJO QUE PAGINA  LLEGA HASTA FILA 104</t>
  </si>
  <si>
    <t>crear pdf: igual OJO QUE PAGINA  LLEGA HASTA FILA 104</t>
  </si>
  <si>
    <t>guardar como: molderia T3 + X1</t>
  </si>
  <si>
    <t>AGREGAR IMPIRMIR geometral y ficha CARrga</t>
  </si>
  <si>
    <t>Listo</t>
  </si>
  <si>
    <t>listo</t>
  </si>
  <si>
    <t>M:\ACTIVO\41- Inv 23\1-GRISINO\4- FICHAS TÉCNICAS</t>
  </si>
  <si>
    <t>I23</t>
  </si>
  <si>
    <t>BASE D16 INV18 CONJUNTO DE PLUSH</t>
  </si>
  <si>
    <t>MPG</t>
  </si>
  <si>
    <t>CONJUNTO</t>
  </si>
  <si>
    <t>CONJUNTO MUECA PURO - PLUSH</t>
  </si>
  <si>
    <t>NEGRO-NG</t>
  </si>
  <si>
    <t>SOBRE NEGRO: COLOR NEGRO AL TONO</t>
  </si>
  <si>
    <t>Y:\5- INVIERNO 23\1 FICHAS TECNICAS\GRISINO\PDF</t>
  </si>
  <si>
    <t>recorte superior buzo, mangas y puño de mangas</t>
  </si>
  <si>
    <t xml:space="preserve">orejitas buzo </t>
  </si>
  <si>
    <t>orejitas pantalon</t>
  </si>
  <si>
    <t>01</t>
  </si>
  <si>
    <t>buzo recorte inferior, puños de cintura, pantalon y puños de pantalon</t>
  </si>
  <si>
    <t>parche ojitos bordado BUZO Y PANTALON</t>
  </si>
  <si>
    <t>SEPARAR 35 METROS PARA EL BORDADOR</t>
  </si>
  <si>
    <t>D55</t>
  </si>
  <si>
    <t>BUZO DELANTERO Y PANTALON TRASERO</t>
  </si>
  <si>
    <t>80% ALGODÓN 20% POLIÉSTER</t>
  </si>
  <si>
    <t>XAE942</t>
  </si>
  <si>
    <t>SOBRE BLANCO : COLOR BLANCO AL TONO</t>
  </si>
  <si>
    <t>G0DM00</t>
  </si>
  <si>
    <t>COL1 - 02</t>
  </si>
  <si>
    <t>0.105</t>
  </si>
  <si>
    <t>COLORES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</si>
</sst>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$&quot;\ #,##0.00;[Red]&quot;$&quot;\ \-#,##0.00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  <numFmt numFmtId="173" formatCode="dd/mm/yyyy;@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sz val="14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46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6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6" fillId="0" borderId="0"/>
    <xf numFmtId="0" fontId="1" fillId="0" borderId="0"/>
    <xf numFmtId="166" fontId="3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1163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33" fillId="0" borderId="0" xfId="1" applyFont="1"/>
    <xf numFmtId="0" fontId="9" fillId="0" borderId="0" xfId="1" applyFont="1" applyAlignment="1">
      <alignment horizontal="right"/>
    </xf>
    <xf numFmtId="0" fontId="19" fillId="0" borderId="0" xfId="1" applyFont="1" applyAlignment="1">
      <alignment vertical="center"/>
    </xf>
    <xf numFmtId="49" fontId="40" fillId="0" borderId="0" xfId="1" applyNumberFormat="1" applyFont="1" applyAlignment="1">
      <alignment horizontal="center"/>
    </xf>
    <xf numFmtId="0" fontId="21" fillId="0" borderId="0" xfId="1" applyFont="1" applyAlignment="1">
      <alignment vertical="center" wrapText="1"/>
    </xf>
    <xf numFmtId="0" fontId="21" fillId="0" borderId="0" xfId="1" applyFont="1" applyAlignment="1">
      <alignment vertical="center"/>
    </xf>
    <xf numFmtId="49" fontId="0" fillId="0" borderId="0" xfId="0" applyNumberFormat="1"/>
    <xf numFmtId="49" fontId="35" fillId="0" borderId="0" xfId="1" applyNumberFormat="1" applyFont="1" applyAlignment="1">
      <alignment vertical="center" wrapText="1" shrinkToFit="1"/>
    </xf>
    <xf numFmtId="0" fontId="45" fillId="0" borderId="0" xfId="1" applyFont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8" fillId="0" borderId="0" xfId="0" applyFont="1"/>
    <xf numFmtId="0" fontId="8" fillId="0" borderId="0" xfId="2" applyFont="1" applyAlignment="1">
      <alignment horizontal="left"/>
    </xf>
    <xf numFmtId="0" fontId="7" fillId="0" borderId="0" xfId="0" applyFont="1"/>
    <xf numFmtId="0" fontId="46" fillId="0" borderId="0" xfId="0" applyFont="1"/>
    <xf numFmtId="0" fontId="45" fillId="0" borderId="0" xfId="1" applyFont="1" applyAlignment="1">
      <alignment horizontal="center" vertical="center" wrapText="1" shrinkToFit="1"/>
    </xf>
    <xf numFmtId="49" fontId="0" fillId="0" borderId="0" xfId="0" applyNumberFormat="1" applyAlignment="1">
      <alignment horizontal="center"/>
    </xf>
    <xf numFmtId="49" fontId="35" fillId="0" borderId="0" xfId="1" applyNumberFormat="1" applyFont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61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Font="1" applyBorder="1" applyAlignment="1" applyProtection="1">
      <alignment horizontal="center"/>
      <protection locked="0"/>
    </xf>
    <xf numFmtId="0" fontId="4" fillId="0" borderId="54" xfId="1" applyFont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Font="1" applyBorder="1" applyAlignment="1" applyProtection="1">
      <alignment horizontal="center"/>
      <protection locked="0"/>
    </xf>
    <xf numFmtId="0" fontId="9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9" fillId="0" borderId="6" xfId="1" applyFont="1" applyBorder="1" applyAlignment="1" applyProtection="1">
      <alignment horizontal="center"/>
      <protection locked="0"/>
    </xf>
    <xf numFmtId="0" fontId="33" fillId="0" borderId="10" xfId="1" applyFont="1" applyBorder="1" applyAlignment="1" applyProtection="1">
      <alignment horizontal="center" vertic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13" fillId="0" borderId="61" xfId="1" applyFont="1" applyBorder="1" applyAlignment="1" applyProtection="1">
      <alignment horizontal="center"/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Border="1" applyAlignment="1" applyProtection="1">
      <alignment horizontal="center"/>
      <protection locked="0"/>
    </xf>
    <xf numFmtId="0" fontId="41" fillId="0" borderId="52" xfId="0" applyFont="1" applyBorder="1" applyAlignment="1" applyProtection="1">
      <alignment horizontal="center" vertical="center"/>
      <protection locked="0"/>
    </xf>
    <xf numFmtId="0" fontId="33" fillId="0" borderId="15" xfId="1" applyFont="1" applyBorder="1" applyAlignment="1" applyProtection="1">
      <alignment horizontal="center" vertical="center"/>
      <protection locked="0"/>
    </xf>
    <xf numFmtId="0" fontId="22" fillId="0" borderId="0" xfId="1" applyFont="1" applyProtection="1">
      <protection locked="0"/>
    </xf>
    <xf numFmtId="0" fontId="18" fillId="0" borderId="0" xfId="1" applyFont="1" applyAlignment="1" applyProtection="1">
      <alignment horizontal="center" vertical="center"/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9" fillId="0" borderId="0" xfId="1" applyFont="1" applyAlignment="1" applyProtection="1">
      <alignment horizontal="right"/>
      <protection locked="0"/>
    </xf>
    <xf numFmtId="0" fontId="9" fillId="0" borderId="21" xfId="1" applyFont="1" applyBorder="1" applyAlignment="1" applyProtection="1">
      <alignment horizontal="center" vertical="center"/>
      <protection locked="0"/>
    </xf>
    <xf numFmtId="0" fontId="9" fillId="0" borderId="22" xfId="1" applyFont="1" applyBorder="1" applyAlignment="1" applyProtection="1">
      <alignment horizontal="center" vertical="center"/>
      <protection locked="0"/>
    </xf>
    <xf numFmtId="0" fontId="9" fillId="0" borderId="19" xfId="1" applyFont="1" applyBorder="1" applyAlignment="1" applyProtection="1">
      <alignment horizontal="center" vertical="center"/>
      <protection locked="0"/>
    </xf>
    <xf numFmtId="0" fontId="14" fillId="0" borderId="20" xfId="1" applyFont="1" applyBorder="1" applyProtection="1"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22" fillId="0" borderId="0" xfId="1" applyFont="1" applyAlignment="1" applyProtection="1">
      <alignment horizontal="center"/>
      <protection locked="0"/>
    </xf>
    <xf numFmtId="0" fontId="26" fillId="0" borderId="59" xfId="0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49" fontId="18" fillId="0" borderId="81" xfId="0" applyNumberFormat="1" applyFont="1" applyBorder="1" applyAlignment="1" applyProtection="1">
      <alignment horizontal="center" vertical="center"/>
      <protection locked="0"/>
    </xf>
    <xf numFmtId="49" fontId="18" fillId="0" borderId="80" xfId="0" applyNumberFormat="1" applyFont="1" applyBorder="1" applyAlignment="1" applyProtection="1">
      <alignment horizontal="center" vertical="center"/>
      <protection locked="0"/>
    </xf>
    <xf numFmtId="0" fontId="18" fillId="0" borderId="33" xfId="0" applyFont="1" applyBorder="1" applyProtection="1">
      <protection locked="0"/>
    </xf>
    <xf numFmtId="0" fontId="7" fillId="0" borderId="71" xfId="0" applyFont="1" applyBorder="1" applyAlignment="1" applyProtection="1">
      <alignment horizontal="center" vertical="center"/>
      <protection locked="0"/>
    </xf>
    <xf numFmtId="0" fontId="7" fillId="0" borderId="69" xfId="0" applyFont="1" applyBorder="1" applyAlignment="1" applyProtection="1">
      <alignment horizontal="center" vertical="center"/>
      <protection locked="0"/>
    </xf>
    <xf numFmtId="0" fontId="7" fillId="0" borderId="72" xfId="0" applyFont="1" applyBorder="1" applyAlignment="1" applyProtection="1">
      <alignment horizontal="center" vertical="center"/>
      <protection locked="0"/>
    </xf>
    <xf numFmtId="0" fontId="17" fillId="0" borderId="73" xfId="0" applyFont="1" applyBorder="1" applyProtection="1">
      <protection locked="0"/>
    </xf>
    <xf numFmtId="0" fontId="19" fillId="0" borderId="0" xfId="1" applyFont="1" applyAlignment="1" applyProtection="1">
      <alignment vertical="center"/>
      <protection locked="0"/>
    </xf>
    <xf numFmtId="0" fontId="9" fillId="0" borderId="11" xfId="1" applyFont="1" applyBorder="1" applyAlignment="1" applyProtection="1">
      <alignment horizontal="center" vertical="center"/>
      <protection locked="0"/>
    </xf>
    <xf numFmtId="0" fontId="9" fillId="0" borderId="12" xfId="1" applyFont="1" applyBorder="1" applyAlignment="1" applyProtection="1">
      <alignment horizontal="center" vertical="center"/>
      <protection locked="0"/>
    </xf>
    <xf numFmtId="0" fontId="9" fillId="0" borderId="9" xfId="1" applyFont="1" applyBorder="1" applyAlignment="1" applyProtection="1">
      <alignment horizontal="center" vertical="center"/>
      <protection locked="0"/>
    </xf>
    <xf numFmtId="0" fontId="14" fillId="0" borderId="10" xfId="1" applyFont="1" applyBorder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Border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5" fillId="0" borderId="44" xfId="1" applyFont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4" xfId="0" applyNumberFormat="1" applyFont="1" applyFill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center" vertical="center"/>
      <protection locked="0"/>
    </xf>
    <xf numFmtId="0" fontId="17" fillId="0" borderId="34" xfId="1" applyFont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11" fillId="0" borderId="62" xfId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53" fillId="0" borderId="0" xfId="1" applyFo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0" fontId="19" fillId="0" borderId="63" xfId="1" applyFont="1" applyBorder="1" applyAlignment="1" applyProtection="1">
      <alignment vertical="center" shrinkToFit="1"/>
      <protection locked="0"/>
    </xf>
    <xf numFmtId="0" fontId="19" fillId="0" borderId="65" xfId="1" applyFont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Border="1" applyAlignment="1" applyProtection="1">
      <alignment horizontal="center" vertical="center"/>
      <protection locked="0"/>
    </xf>
    <xf numFmtId="168" fontId="7" fillId="0" borderId="109" xfId="1" applyNumberFormat="1" applyFont="1" applyBorder="1" applyAlignment="1" applyProtection="1">
      <alignment horizontal="center" vertical="center"/>
      <protection locked="0"/>
    </xf>
    <xf numFmtId="170" fontId="9" fillId="0" borderId="110" xfId="1" applyNumberFormat="1" applyFont="1" applyBorder="1" applyAlignment="1" applyProtection="1">
      <alignment horizontal="center" vertical="center"/>
      <protection locked="0"/>
    </xf>
    <xf numFmtId="170" fontId="9" fillId="0" borderId="111" xfId="1" applyNumberFormat="1" applyFont="1" applyBorder="1" applyAlignment="1" applyProtection="1">
      <alignment horizontal="center" vertical="center"/>
      <protection locked="0"/>
    </xf>
    <xf numFmtId="168" fontId="7" fillId="0" borderId="112" xfId="1" applyNumberFormat="1" applyFont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Border="1" applyAlignment="1" applyProtection="1">
      <alignment horizontal="center" vertical="center"/>
      <protection locked="0"/>
    </xf>
    <xf numFmtId="0" fontId="16" fillId="0" borderId="59" xfId="0" applyFont="1" applyBorder="1" applyAlignment="1" applyProtection="1">
      <alignment horizontal="center"/>
      <protection locked="0"/>
    </xf>
    <xf numFmtId="169" fontId="25" fillId="0" borderId="106" xfId="0" applyNumberFormat="1" applyFont="1" applyBorder="1" applyAlignment="1" applyProtection="1">
      <alignment horizontal="center" vertical="center"/>
      <protection locked="0"/>
    </xf>
    <xf numFmtId="169" fontId="25" fillId="0" borderId="69" xfId="0" applyNumberFormat="1" applyFont="1" applyBorder="1" applyAlignment="1" applyProtection="1">
      <alignment horizontal="center" vertical="center"/>
      <protection locked="0"/>
    </xf>
    <xf numFmtId="169" fontId="25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Border="1" applyAlignment="1" applyProtection="1">
      <alignment horizontal="center" vertical="center"/>
      <protection locked="0"/>
    </xf>
    <xf numFmtId="0" fontId="17" fillId="0" borderId="48" xfId="1" applyFont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Border="1" applyAlignment="1" applyProtection="1">
      <alignment horizontal="center" vertical="center"/>
      <protection locked="0"/>
    </xf>
    <xf numFmtId="170" fontId="9" fillId="0" borderId="11" xfId="1" applyNumberFormat="1" applyFont="1" applyBorder="1" applyAlignment="1">
      <alignment horizontal="center" vertical="center"/>
    </xf>
    <xf numFmtId="170" fontId="9" fillId="0" borderId="12" xfId="1" applyNumberFormat="1" applyFont="1" applyBorder="1" applyAlignment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Border="1" applyAlignment="1">
      <alignment horizontal="center" vertical="center"/>
    </xf>
    <xf numFmtId="170" fontId="9" fillId="0" borderId="21" xfId="1" applyNumberFormat="1" applyFont="1" applyBorder="1" applyAlignment="1">
      <alignment horizontal="center" vertical="center"/>
    </xf>
    <xf numFmtId="0" fontId="9" fillId="0" borderId="107" xfId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0" fontId="63" fillId="0" borderId="24" xfId="1" applyFont="1" applyBorder="1" applyAlignment="1" applyProtection="1">
      <alignment vertical="center" shrinkToFit="1"/>
      <protection locked="0"/>
    </xf>
    <xf numFmtId="0" fontId="64" fillId="0" borderId="51" xfId="1" applyFont="1" applyBorder="1" applyAlignment="1" applyProtection="1">
      <alignment horizontal="right" vertical="center" shrinkToFit="1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Border="1" applyAlignment="1" applyProtection="1">
      <alignment horizontal="center" vertical="center"/>
      <protection locked="0"/>
    </xf>
    <xf numFmtId="0" fontId="7" fillId="0" borderId="21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17" fillId="0" borderId="73" xfId="0" applyFont="1" applyBorder="1" applyAlignment="1" applyProtection="1">
      <alignment horizontal="left" vertical="center"/>
      <protection locked="0"/>
    </xf>
    <xf numFmtId="0" fontId="14" fillId="0" borderId="20" xfId="1" applyFont="1" applyBorder="1" applyAlignment="1" applyProtection="1">
      <alignment horizontal="left" vertical="center"/>
      <protection locked="0"/>
    </xf>
    <xf numFmtId="0" fontId="17" fillId="0" borderId="73" xfId="0" applyFont="1" applyBorder="1" applyAlignment="1" applyProtection="1">
      <alignment vertical="center"/>
      <protection locked="0"/>
    </xf>
    <xf numFmtId="0" fontId="14" fillId="0" borderId="20" xfId="1" applyFont="1" applyBorder="1" applyAlignment="1" applyProtection="1">
      <alignment vertical="center"/>
      <protection locked="0"/>
    </xf>
    <xf numFmtId="0" fontId="14" fillId="0" borderId="10" xfId="1" applyFont="1" applyBorder="1" applyAlignment="1" applyProtection="1">
      <alignment vertical="center"/>
      <protection locked="0"/>
    </xf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Border="1" applyAlignment="1" applyProtection="1">
      <alignment horizontal="center" vertical="center"/>
      <protection locked="0"/>
    </xf>
    <xf numFmtId="170" fontId="9" fillId="0" borderId="134" xfId="1" applyNumberFormat="1" applyFont="1" applyBorder="1" applyAlignment="1" applyProtection="1">
      <alignment horizontal="center" vertical="center"/>
      <protection locked="0"/>
    </xf>
    <xf numFmtId="170" fontId="9" fillId="0" borderId="135" xfId="1" applyNumberFormat="1" applyFont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Border="1" applyAlignment="1" applyProtection="1">
      <alignment horizontal="center" vertical="center"/>
      <protection locked="0"/>
    </xf>
    <xf numFmtId="49" fontId="7" fillId="0" borderId="135" xfId="0" applyNumberFormat="1" applyFont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 vertical="center"/>
      <protection locked="0"/>
    </xf>
    <xf numFmtId="0" fontId="17" fillId="0" borderId="25" xfId="1" applyFont="1" applyBorder="1" applyAlignment="1" applyProtection="1">
      <alignment horizontal="left" vertical="center"/>
      <protection locked="0"/>
    </xf>
    <xf numFmtId="0" fontId="14" fillId="0" borderId="49" xfId="1" applyFont="1" applyBorder="1" applyAlignment="1" applyProtection="1">
      <alignment vertical="center"/>
      <protection locked="0"/>
    </xf>
    <xf numFmtId="49" fontId="9" fillId="0" borderId="45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>
      <alignment horizontal="center" vertical="center"/>
    </xf>
    <xf numFmtId="0" fontId="39" fillId="3" borderId="16" xfId="1" applyFont="1" applyFill="1" applyBorder="1" applyAlignment="1" applyProtection="1">
      <alignment horizontal="center" vertical="center"/>
      <protection locked="0"/>
    </xf>
    <xf numFmtId="0" fontId="32" fillId="3" borderId="33" xfId="1" applyFont="1" applyFill="1" applyBorder="1" applyAlignment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>
      <alignment horizontal="center" vertical="center"/>
    </xf>
    <xf numFmtId="0" fontId="69" fillId="0" borderId="10" xfId="1" applyFont="1" applyBorder="1" applyAlignment="1">
      <alignment horizontal="center" vertical="center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0" fontId="70" fillId="0" borderId="52" xfId="0" applyFont="1" applyBorder="1" applyAlignment="1" applyProtection="1">
      <alignment horizontal="center" vertical="center"/>
      <protection locked="0"/>
    </xf>
    <xf numFmtId="0" fontId="70" fillId="0" borderId="26" xfId="0" applyFont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>
      <alignment horizontal="center" vertical="center"/>
    </xf>
    <xf numFmtId="0" fontId="32" fillId="0" borderId="6" xfId="1" applyFont="1" applyBorder="1" applyAlignment="1">
      <alignment horizontal="center" vertical="center"/>
    </xf>
    <xf numFmtId="49" fontId="39" fillId="0" borderId="26" xfId="1" applyNumberFormat="1" applyFont="1" applyBorder="1" applyAlignment="1">
      <alignment horizontal="center" vertical="center"/>
    </xf>
    <xf numFmtId="0" fontId="32" fillId="0" borderId="10" xfId="1" applyFont="1" applyBorder="1" applyAlignment="1">
      <alignment horizontal="center" vertical="center"/>
    </xf>
    <xf numFmtId="49" fontId="39" fillId="0" borderId="53" xfId="1" applyNumberFormat="1" applyFont="1" applyBorder="1" applyAlignment="1">
      <alignment horizontal="center" vertical="center"/>
    </xf>
    <xf numFmtId="0" fontId="32" fillId="0" borderId="20" xfId="1" applyFont="1" applyBorder="1" applyAlignment="1">
      <alignment horizontal="center" vertical="center"/>
    </xf>
    <xf numFmtId="49" fontId="39" fillId="0" borderId="46" xfId="1" applyNumberFormat="1" applyFont="1" applyBorder="1" applyAlignment="1">
      <alignment horizontal="center" vertical="center"/>
    </xf>
    <xf numFmtId="49" fontId="39" fillId="0" borderId="57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49" fontId="39" fillId="0" borderId="56" xfId="1" applyNumberFormat="1" applyFont="1" applyBorder="1" applyAlignment="1">
      <alignment horizontal="center" vertical="center"/>
    </xf>
    <xf numFmtId="0" fontId="32" fillId="0" borderId="31" xfId="1" applyFont="1" applyBorder="1" applyAlignment="1">
      <alignment horizontal="center" vertical="center"/>
    </xf>
    <xf numFmtId="0" fontId="32" fillId="0" borderId="61" xfId="1" applyFont="1" applyBorder="1" applyAlignment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Border="1" applyAlignment="1">
      <alignment horizontal="center" vertical="center"/>
    </xf>
    <xf numFmtId="0" fontId="32" fillId="0" borderId="15" xfId="1" applyFont="1" applyBorder="1" applyAlignment="1">
      <alignment horizontal="center" vertical="center"/>
    </xf>
    <xf numFmtId="0" fontId="70" fillId="0" borderId="26" xfId="0" applyFont="1" applyBorder="1" applyAlignment="1">
      <alignment horizontal="center" vertical="center"/>
    </xf>
    <xf numFmtId="0" fontId="70" fillId="0" borderId="74" xfId="0" applyFont="1" applyBorder="1" applyAlignment="1">
      <alignment vertical="center"/>
    </xf>
    <xf numFmtId="0" fontId="32" fillId="0" borderId="103" xfId="1" applyFont="1" applyBorder="1" applyAlignment="1">
      <alignment horizontal="center" vertical="center"/>
    </xf>
    <xf numFmtId="49" fontId="39" fillId="0" borderId="74" xfId="1" applyNumberFormat="1" applyFont="1" applyBorder="1" applyAlignment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>
      <alignment horizontal="center" vertical="center"/>
    </xf>
    <xf numFmtId="0" fontId="32" fillId="0" borderId="45" xfId="1" applyFont="1" applyBorder="1" applyAlignment="1">
      <alignment horizontal="center" vertical="center"/>
    </xf>
    <xf numFmtId="0" fontId="12" fillId="0" borderId="0" xfId="1" applyFont="1" applyProtection="1">
      <protection locked="0"/>
    </xf>
    <xf numFmtId="0" fontId="75" fillId="0" borderId="0" xfId="1" applyFont="1" applyProtection="1">
      <protection locked="0"/>
    </xf>
    <xf numFmtId="0" fontId="76" fillId="0" borderId="0" xfId="1" applyFont="1" applyProtection="1">
      <protection locked="0"/>
    </xf>
    <xf numFmtId="0" fontId="77" fillId="0" borderId="0" xfId="1" applyFont="1" applyProtection="1">
      <protection locked="0"/>
    </xf>
    <xf numFmtId="0" fontId="78" fillId="0" borderId="0" xfId="1" applyFont="1" applyProtection="1">
      <protection locked="0"/>
    </xf>
    <xf numFmtId="0" fontId="79" fillId="0" borderId="0" xfId="1" applyFont="1" applyProtection="1">
      <protection locked="0"/>
    </xf>
    <xf numFmtId="0" fontId="80" fillId="0" borderId="0" xfId="1" applyFont="1" applyProtection="1">
      <protection locked="0"/>
    </xf>
    <xf numFmtId="0" fontId="81" fillId="0" borderId="0" xfId="1" applyFont="1" applyProtection="1">
      <protection locked="0"/>
    </xf>
    <xf numFmtId="0" fontId="82" fillId="0" borderId="0" xfId="1" applyFont="1" applyProtection="1">
      <protection locked="0"/>
    </xf>
    <xf numFmtId="0" fontId="58" fillId="36" borderId="0" xfId="0" applyFont="1" applyFill="1"/>
    <xf numFmtId="168" fontId="7" fillId="0" borderId="98" xfId="1" applyNumberFormat="1" applyFont="1" applyBorder="1" applyAlignment="1" applyProtection="1">
      <alignment horizontal="center" vertical="center"/>
      <protection locked="0"/>
    </xf>
    <xf numFmtId="172" fontId="7" fillId="0" borderId="71" xfId="0" applyNumberFormat="1" applyFont="1" applyBorder="1" applyAlignment="1" applyProtection="1">
      <alignment horizontal="center" vertical="center"/>
      <protection locked="0"/>
    </xf>
    <xf numFmtId="172" fontId="7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1" xfId="0" applyNumberFormat="1" applyFont="1" applyBorder="1" applyAlignment="1" applyProtection="1">
      <alignment horizontal="center" vertical="center"/>
      <protection locked="0"/>
    </xf>
    <xf numFmtId="172" fontId="25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2" xfId="0" applyNumberFormat="1" applyFont="1" applyBorder="1" applyAlignment="1" applyProtection="1">
      <alignment horizontal="center" vertical="center"/>
      <protection locked="0"/>
    </xf>
    <xf numFmtId="172" fontId="7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Border="1" applyAlignment="1">
      <alignment horizontal="center" vertical="center"/>
    </xf>
    <xf numFmtId="170" fontId="9" fillId="0" borderId="47" xfId="1" applyNumberFormat="1" applyFont="1" applyBorder="1" applyAlignment="1">
      <alignment horizontal="center" vertical="center"/>
    </xf>
    <xf numFmtId="0" fontId="14" fillId="0" borderId="45" xfId="1" applyFont="1" applyBorder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72" fillId="0" borderId="0" xfId="1" applyFont="1" applyProtection="1">
      <protection locked="0"/>
    </xf>
    <xf numFmtId="0" fontId="73" fillId="0" borderId="0" xfId="1" applyFont="1" applyProtection="1">
      <protection locked="0"/>
    </xf>
    <xf numFmtId="0" fontId="20" fillId="0" borderId="0" xfId="1" applyFont="1" applyAlignment="1" applyProtection="1">
      <alignment vertical="center" wrapText="1"/>
      <protection locked="0"/>
    </xf>
    <xf numFmtId="0" fontId="36" fillId="0" borderId="0" xfId="1" applyFont="1" applyAlignment="1" applyProtection="1">
      <alignment vertical="center" wrapText="1"/>
      <protection locked="0"/>
    </xf>
    <xf numFmtId="0" fontId="23" fillId="0" borderId="0" xfId="1" applyFont="1" applyAlignment="1" applyProtection="1">
      <alignment vertical="center" wrapText="1"/>
      <protection locked="0"/>
    </xf>
    <xf numFmtId="0" fontId="47" fillId="0" borderId="0" xfId="1" applyFont="1" applyAlignment="1" applyProtection="1">
      <alignment vertical="center" wrapText="1"/>
      <protection locked="0"/>
    </xf>
    <xf numFmtId="0" fontId="22" fillId="0" borderId="0" xfId="1" applyFont="1" applyAlignment="1" applyProtection="1">
      <alignment vertical="center" wrapText="1"/>
      <protection locked="0"/>
    </xf>
    <xf numFmtId="0" fontId="4" fillId="0" borderId="0" xfId="1" applyFont="1" applyAlignment="1" applyProtection="1">
      <alignment horizontal="left"/>
      <protection locked="0"/>
    </xf>
    <xf numFmtId="0" fontId="9" fillId="0" borderId="0" xfId="1" applyFont="1" applyAlignment="1" applyProtection="1">
      <alignment vertical="top" wrapText="1"/>
      <protection locked="0"/>
    </xf>
    <xf numFmtId="0" fontId="64" fillId="0" borderId="51" xfId="1" applyFont="1" applyBorder="1" applyAlignment="1">
      <alignment horizontal="right" vertical="center" shrinkToFit="1"/>
    </xf>
    <xf numFmtId="0" fontId="63" fillId="0" borderId="24" xfId="1" applyFont="1" applyBorder="1" applyAlignment="1">
      <alignment vertical="center" shrinkToFit="1"/>
    </xf>
    <xf numFmtId="0" fontId="4" fillId="0" borderId="0" xfId="1" applyFont="1" applyAlignment="1" applyProtection="1">
      <alignment vertical="center"/>
      <protection locked="0"/>
    </xf>
    <xf numFmtId="0" fontId="84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Alignment="1">
      <alignment horizontal="center" vertical="center" wrapText="1" shrinkToFit="1"/>
    </xf>
    <xf numFmtId="170" fontId="9" fillId="0" borderId="22" xfId="1" applyNumberFormat="1" applyFont="1" applyBorder="1" applyAlignment="1" applyProtection="1">
      <alignment horizontal="center" vertical="center"/>
      <protection locked="0"/>
    </xf>
    <xf numFmtId="0" fontId="83" fillId="0" borderId="63" xfId="1" applyFont="1" applyBorder="1" applyAlignment="1" applyProtection="1">
      <alignment vertical="center" shrinkToFit="1"/>
      <protection locked="0"/>
    </xf>
    <xf numFmtId="49" fontId="83" fillId="0" borderId="63" xfId="1" applyNumberFormat="1" applyFont="1" applyBorder="1" applyAlignment="1" applyProtection="1">
      <alignment vertical="center" shrinkToFit="1"/>
      <protection locked="0"/>
    </xf>
    <xf numFmtId="0" fontId="57" fillId="0" borderId="0" xfId="1" applyFont="1" applyAlignment="1" applyProtection="1">
      <alignment vertical="center"/>
      <protection locked="0"/>
    </xf>
    <xf numFmtId="49" fontId="83" fillId="0" borderId="65" xfId="1" applyNumberFormat="1" applyFont="1" applyBorder="1" applyAlignment="1" applyProtection="1">
      <alignment vertical="center" shrinkToFit="1"/>
      <protection locked="0"/>
    </xf>
    <xf numFmtId="0" fontId="87" fillId="0" borderId="0" xfId="1" applyFont="1" applyProtection="1">
      <protection locked="0"/>
    </xf>
    <xf numFmtId="0" fontId="23" fillId="0" borderId="66" xfId="1" applyFont="1" applyBorder="1" applyAlignment="1">
      <alignment vertical="center" shrinkToFit="1"/>
    </xf>
    <xf numFmtId="49" fontId="83" fillId="0" borderId="65" xfId="1" applyNumberFormat="1" applyFont="1" applyBorder="1" applyAlignment="1">
      <alignment vertical="center" shrinkToFit="1"/>
    </xf>
    <xf numFmtId="0" fontId="83" fillId="0" borderId="63" xfId="1" applyFont="1" applyBorder="1" applyAlignment="1">
      <alignment vertical="center" shrinkToFit="1"/>
    </xf>
    <xf numFmtId="49" fontId="83" fillId="0" borderId="63" xfId="1" applyNumberFormat="1" applyFont="1" applyBorder="1" applyAlignment="1">
      <alignment vertical="center" shrinkToFit="1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7" fillId="2" borderId="0" xfId="1" applyFont="1" applyFill="1" applyProtection="1">
      <protection locked="0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20" fillId="4" borderId="63" xfId="1" applyFont="1" applyFill="1" applyBorder="1" applyAlignment="1">
      <alignment horizontal="center" vertical="center" wrapText="1" shrinkToFit="1"/>
    </xf>
    <xf numFmtId="0" fontId="20" fillId="4" borderId="64" xfId="1" applyFont="1" applyFill="1" applyBorder="1" applyAlignment="1">
      <alignment horizontal="center" vertical="center" wrapText="1" shrinkToFit="1"/>
    </xf>
    <xf numFmtId="0" fontId="83" fillId="0" borderId="102" xfId="1" applyFont="1" applyBorder="1" applyAlignment="1">
      <alignment horizontal="center" vertical="center" shrinkToFit="1"/>
    </xf>
    <xf numFmtId="0" fontId="83" fillId="0" borderId="63" xfId="1" applyFont="1" applyBorder="1" applyAlignment="1">
      <alignment horizontal="center" vertical="center" shrinkToFit="1"/>
    </xf>
    <xf numFmtId="0" fontId="83" fillId="0" borderId="65" xfId="1" applyFont="1" applyBorder="1" applyAlignment="1">
      <alignment horizontal="center" vertical="center" shrinkToFit="1"/>
    </xf>
    <xf numFmtId="0" fontId="83" fillId="2" borderId="115" xfId="1" applyFont="1" applyFill="1" applyBorder="1" applyAlignment="1">
      <alignment horizontal="center" vertical="center" shrinkToFit="1"/>
    </xf>
    <xf numFmtId="0" fontId="83" fillId="2" borderId="63" xfId="1" applyFont="1" applyFill="1" applyBorder="1" applyAlignment="1">
      <alignment horizontal="center" vertical="center" shrinkToFit="1"/>
    </xf>
    <xf numFmtId="0" fontId="83" fillId="2" borderId="65" xfId="1" applyFont="1" applyFill="1" applyBorder="1" applyAlignment="1">
      <alignment horizontal="center" vertical="center" shrinkToFit="1"/>
    </xf>
    <xf numFmtId="0" fontId="83" fillId="0" borderId="115" xfId="1" applyFont="1" applyBorder="1" applyAlignment="1">
      <alignment horizontal="center" vertical="center" shrinkToFit="1"/>
    </xf>
    <xf numFmtId="0" fontId="86" fillId="0" borderId="63" xfId="1" applyFont="1" applyBorder="1" applyAlignment="1">
      <alignment horizontal="right" vertical="center" shrinkToFit="1"/>
    </xf>
    <xf numFmtId="0" fontId="83" fillId="0" borderId="63" xfId="1" applyFont="1" applyBorder="1" applyAlignment="1">
      <alignment horizontal="right" vertical="center" shrinkToFit="1"/>
    </xf>
    <xf numFmtId="0" fontId="9" fillId="0" borderId="51" xfId="1" applyFont="1" applyBorder="1" applyAlignment="1" applyProtection="1">
      <alignment horizontal="center"/>
      <protection locked="0"/>
    </xf>
    <xf numFmtId="0" fontId="9" fillId="0" borderId="23" xfId="1" applyFont="1" applyBorder="1" applyAlignment="1" applyProtection="1">
      <alignment horizontal="center"/>
      <protection locked="0"/>
    </xf>
    <xf numFmtId="0" fontId="9" fillId="0" borderId="24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/>
      <protection locked="0"/>
    </xf>
    <xf numFmtId="0" fontId="9" fillId="0" borderId="25" xfId="1" applyFont="1" applyBorder="1" applyAlignment="1" applyProtection="1">
      <alignment horizontal="center"/>
      <protection locked="0"/>
    </xf>
    <xf numFmtId="0" fontId="9" fillId="0" borderId="50" xfId="1" applyFont="1" applyBorder="1" applyAlignment="1" applyProtection="1">
      <alignment horizontal="center"/>
      <protection locked="0"/>
    </xf>
    <xf numFmtId="0" fontId="9" fillId="0" borderId="43" xfId="1" applyFont="1" applyBorder="1" applyAlignment="1" applyProtection="1">
      <alignment horizontal="center"/>
      <protection locked="0"/>
    </xf>
    <xf numFmtId="0" fontId="9" fillId="0" borderId="48" xfId="1" applyFont="1" applyBorder="1" applyAlignment="1" applyProtection="1">
      <alignment horizontal="center"/>
      <protection locked="0"/>
    </xf>
    <xf numFmtId="0" fontId="23" fillId="4" borderId="51" xfId="1" applyFont="1" applyFill="1" applyBorder="1" applyAlignment="1">
      <alignment horizontal="center" vertical="center"/>
    </xf>
    <xf numFmtId="0" fontId="23" fillId="4" borderId="23" xfId="1" applyFont="1" applyFill="1" applyBorder="1" applyAlignment="1">
      <alignment horizontal="center" vertical="center"/>
    </xf>
    <xf numFmtId="0" fontId="23" fillId="4" borderId="24" xfId="1" applyFont="1" applyFill="1" applyBorder="1" applyAlignment="1">
      <alignment horizontal="center" vertical="center"/>
    </xf>
    <xf numFmtId="0" fontId="23" fillId="4" borderId="26" xfId="1" applyFont="1" applyFill="1" applyBorder="1" applyAlignment="1">
      <alignment horizontal="center" vertical="center"/>
    </xf>
    <xf numFmtId="0" fontId="23" fillId="4" borderId="0" xfId="1" applyFont="1" applyFill="1" applyAlignment="1">
      <alignment horizontal="center" vertical="center"/>
    </xf>
    <xf numFmtId="0" fontId="23" fillId="4" borderId="25" xfId="1" applyFont="1" applyFill="1" applyBorder="1" applyAlignment="1">
      <alignment horizontal="center" vertical="center"/>
    </xf>
    <xf numFmtId="0" fontId="83" fillId="0" borderId="102" xfId="1" applyFont="1" applyBorder="1" applyAlignment="1">
      <alignment horizontal="center" vertical="center"/>
    </xf>
    <xf numFmtId="0" fontId="83" fillId="0" borderId="63" xfId="1" applyFont="1" applyBorder="1" applyAlignment="1">
      <alignment horizontal="center" vertical="center"/>
    </xf>
    <xf numFmtId="0" fontId="83" fillId="0" borderId="64" xfId="1" applyFont="1" applyBorder="1" applyAlignment="1">
      <alignment horizontal="center" vertical="center"/>
    </xf>
    <xf numFmtId="0" fontId="21" fillId="0" borderId="0" xfId="1" applyFont="1" applyAlignment="1" applyProtection="1">
      <alignment horizontal="center" vertical="center"/>
      <protection locked="0"/>
    </xf>
    <xf numFmtId="0" fontId="21" fillId="0" borderId="0" xfId="1" applyFont="1" applyAlignment="1" applyProtection="1">
      <alignment horizontal="center" vertical="center" wrapText="1"/>
      <protection locked="0"/>
    </xf>
    <xf numFmtId="0" fontId="64" fillId="0" borderId="50" xfId="1" applyFont="1" applyBorder="1" applyAlignment="1">
      <alignment horizontal="center" vertical="center" shrinkToFit="1"/>
    </xf>
    <xf numFmtId="0" fontId="64" fillId="0" borderId="48" xfId="1" applyFont="1" applyBorder="1" applyAlignment="1">
      <alignment horizontal="center" vertical="center" shrinkToFit="1"/>
    </xf>
    <xf numFmtId="0" fontId="6" fillId="0" borderId="38" xfId="1" applyFont="1" applyBorder="1" applyAlignment="1">
      <alignment horizontal="center" vertical="center" textRotation="90"/>
    </xf>
    <xf numFmtId="0" fontId="6" fillId="0" borderId="37" xfId="1" applyFont="1" applyBorder="1" applyAlignment="1">
      <alignment horizontal="center" vertical="center" textRotation="90"/>
    </xf>
    <xf numFmtId="0" fontId="42" fillId="0" borderId="57" xfId="1" applyFont="1" applyBorder="1" applyAlignment="1">
      <alignment horizontal="left" vertical="center"/>
    </xf>
    <xf numFmtId="0" fontId="42" fillId="0" borderId="40" xfId="1" applyFont="1" applyBorder="1" applyAlignment="1">
      <alignment horizontal="left" vertical="center"/>
    </xf>
    <xf numFmtId="0" fontId="42" fillId="0" borderId="41" xfId="1" applyFont="1" applyBorder="1" applyAlignment="1">
      <alignment horizontal="left" vertical="center"/>
    </xf>
    <xf numFmtId="0" fontId="43" fillId="0" borderId="62" xfId="1" applyFont="1" applyBorder="1" applyAlignment="1">
      <alignment horizontal="left" vertical="center" shrinkToFit="1"/>
    </xf>
    <xf numFmtId="0" fontId="43" fillId="0" borderId="18" xfId="1" applyFont="1" applyBorder="1" applyAlignment="1">
      <alignment horizontal="left" vertical="center" shrinkToFit="1"/>
    </xf>
    <xf numFmtId="0" fontId="43" fillId="0" borderId="22" xfId="1" applyFont="1" applyBorder="1" applyAlignment="1">
      <alignment horizontal="left" vertical="center" shrinkToFit="1"/>
    </xf>
    <xf numFmtId="0" fontId="44" fillId="0" borderId="62" xfId="1" applyFont="1" applyBorder="1" applyAlignment="1">
      <alignment horizontal="center" vertical="center" shrinkToFit="1"/>
    </xf>
    <xf numFmtId="0" fontId="44" fillId="0" borderId="18" xfId="1" applyFont="1" applyBorder="1" applyAlignment="1">
      <alignment horizontal="center" vertical="center" shrinkToFit="1"/>
    </xf>
    <xf numFmtId="0" fontId="43" fillId="0" borderId="1" xfId="1" applyFont="1" applyBorder="1" applyAlignment="1">
      <alignment horizontal="center" vertical="center" shrinkToFit="1"/>
    </xf>
    <xf numFmtId="0" fontId="43" fillId="0" borderId="40" xfId="1" applyFont="1" applyBorder="1" applyAlignment="1">
      <alignment horizontal="center" vertical="center" shrinkToFit="1"/>
    </xf>
    <xf numFmtId="0" fontId="43" fillId="0" borderId="2" xfId="1" applyFont="1" applyBorder="1" applyAlignment="1">
      <alignment horizontal="center" vertical="center" shrinkToFit="1"/>
    </xf>
    <xf numFmtId="0" fontId="30" fillId="0" borderId="58" xfId="1" applyFont="1" applyBorder="1" applyAlignment="1">
      <alignment horizontal="left" vertical="center"/>
    </xf>
    <xf numFmtId="0" fontId="30" fillId="0" borderId="4" xfId="1" applyFont="1" applyBorder="1" applyAlignment="1">
      <alignment horizontal="left" vertical="center"/>
    </xf>
    <xf numFmtId="0" fontId="30" fillId="0" borderId="35" xfId="1" applyFont="1" applyBorder="1" applyAlignment="1">
      <alignment horizontal="left" vertical="center"/>
    </xf>
    <xf numFmtId="0" fontId="31" fillId="0" borderId="3" xfId="1" applyFont="1" applyBorder="1" applyAlignment="1">
      <alignment horizontal="left" vertical="center" shrinkToFit="1"/>
    </xf>
    <xf numFmtId="0" fontId="31" fillId="0" borderId="4" xfId="1" applyFont="1" applyBorder="1" applyAlignment="1">
      <alignment horizontal="left" vertical="center" shrinkToFit="1"/>
    </xf>
    <xf numFmtId="0" fontId="31" fillId="0" borderId="35" xfId="1" applyFont="1" applyBorder="1" applyAlignment="1">
      <alignment horizontal="left" vertical="center" shrinkToFit="1"/>
    </xf>
    <xf numFmtId="0" fontId="34" fillId="0" borderId="3" xfId="1" applyFont="1" applyBorder="1" applyAlignment="1">
      <alignment horizontal="center" vertical="center" shrinkToFit="1"/>
    </xf>
    <xf numFmtId="0" fontId="34" fillId="0" borderId="4" xfId="1" applyFont="1" applyBorder="1" applyAlignment="1">
      <alignment horizontal="center" vertical="center" shrinkToFit="1"/>
    </xf>
    <xf numFmtId="0" fontId="31" fillId="0" borderId="3" xfId="1" applyFont="1" applyBorder="1" applyAlignment="1">
      <alignment horizontal="center" vertical="center" shrinkToFit="1"/>
    </xf>
    <xf numFmtId="0" fontId="31" fillId="0" borderId="4" xfId="1" applyFont="1" applyBorder="1" applyAlignment="1">
      <alignment horizontal="center" vertical="center" shrinkToFit="1"/>
    </xf>
    <xf numFmtId="0" fontId="31" fillId="0" borderId="28" xfId="1" applyFont="1" applyBorder="1" applyAlignment="1">
      <alignment horizontal="center" vertical="center" shrinkToFit="1"/>
    </xf>
    <xf numFmtId="0" fontId="11" fillId="0" borderId="51" xfId="1" applyFont="1" applyBorder="1" applyAlignment="1" applyProtection="1">
      <alignment horizontal="center"/>
      <protection locked="0"/>
    </xf>
    <xf numFmtId="0" fontId="11" fillId="0" borderId="23" xfId="1" applyFont="1" applyBorder="1" applyAlignment="1" applyProtection="1">
      <alignment horizontal="center"/>
      <protection locked="0"/>
    </xf>
    <xf numFmtId="0" fontId="11" fillId="0" borderId="24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center"/>
      <protection locked="0"/>
    </xf>
    <xf numFmtId="0" fontId="11" fillId="0" borderId="0" xfId="1" applyFont="1" applyAlignment="1" applyProtection="1">
      <alignment horizontal="center"/>
      <protection locked="0"/>
    </xf>
    <xf numFmtId="0" fontId="11" fillId="0" borderId="25" xfId="1" applyFont="1" applyBorder="1" applyAlignment="1" applyProtection="1">
      <alignment horizontal="center"/>
      <protection locked="0"/>
    </xf>
    <xf numFmtId="0" fontId="11" fillId="0" borderId="50" xfId="1" applyFont="1" applyBorder="1" applyAlignment="1" applyProtection="1">
      <alignment horizontal="center"/>
      <protection locked="0"/>
    </xf>
    <xf numFmtId="0" fontId="11" fillId="0" borderId="43" xfId="1" applyFont="1" applyBorder="1" applyAlignment="1" applyProtection="1">
      <alignment horizontal="center"/>
      <protection locked="0"/>
    </xf>
    <xf numFmtId="0" fontId="11" fillId="0" borderId="48" xfId="1" applyFont="1" applyBorder="1" applyAlignment="1" applyProtection="1">
      <alignment horizontal="center"/>
      <protection locked="0"/>
    </xf>
    <xf numFmtId="0" fontId="83" fillId="0" borderId="26" xfId="1" applyFont="1" applyBorder="1" applyAlignment="1" applyProtection="1">
      <alignment horizontal="left" vertical="top"/>
      <protection locked="0"/>
    </xf>
    <xf numFmtId="0" fontId="83" fillId="0" borderId="0" xfId="1" applyFont="1" applyAlignment="1" applyProtection="1">
      <alignment horizontal="left" vertical="top"/>
      <protection locked="0"/>
    </xf>
    <xf numFmtId="0" fontId="83" fillId="0" borderId="25" xfId="1" applyFont="1" applyBorder="1" applyAlignment="1" applyProtection="1">
      <alignment horizontal="left" vertical="top"/>
      <protection locked="0"/>
    </xf>
    <xf numFmtId="0" fontId="83" fillId="0" borderId="50" xfId="1" applyFont="1" applyBorder="1" applyAlignment="1" applyProtection="1">
      <alignment horizontal="left" vertical="top"/>
      <protection locked="0"/>
    </xf>
    <xf numFmtId="0" fontId="83" fillId="0" borderId="43" xfId="1" applyFont="1" applyBorder="1" applyAlignment="1" applyProtection="1">
      <alignment horizontal="left" vertical="top"/>
      <protection locked="0"/>
    </xf>
    <xf numFmtId="0" fontId="83" fillId="0" borderId="48" xfId="1" applyFont="1" applyBorder="1" applyAlignment="1" applyProtection="1">
      <alignment horizontal="left" vertical="top"/>
      <protection locked="0"/>
    </xf>
    <xf numFmtId="0" fontId="19" fillId="0" borderId="51" xfId="1" applyFont="1" applyBorder="1" applyAlignment="1" applyProtection="1">
      <alignment horizontal="left" vertical="center"/>
      <protection locked="0"/>
    </xf>
    <xf numFmtId="0" fontId="19" fillId="0" borderId="23" xfId="1" applyFont="1" applyBorder="1" applyAlignment="1" applyProtection="1">
      <alignment horizontal="left" vertical="center"/>
      <protection locked="0"/>
    </xf>
    <xf numFmtId="0" fontId="83" fillId="0" borderId="23" xfId="1" applyFont="1" applyBorder="1" applyAlignment="1" applyProtection="1">
      <alignment horizontal="center" vertical="center"/>
      <protection locked="0"/>
    </xf>
    <xf numFmtId="0" fontId="83" fillId="0" borderId="24" xfId="1" applyFont="1" applyBorder="1" applyAlignment="1" applyProtection="1">
      <alignment horizontal="center" vertical="center"/>
      <protection locked="0"/>
    </xf>
    <xf numFmtId="0" fontId="4" fillId="0" borderId="51" xfId="1" applyFont="1" applyBorder="1" applyAlignment="1" applyProtection="1">
      <alignment horizontal="left"/>
      <protection locked="0"/>
    </xf>
    <xf numFmtId="0" fontId="4" fillId="0" borderId="23" xfId="1" applyFont="1" applyBorder="1" applyAlignment="1" applyProtection="1">
      <alignment horizontal="left"/>
      <protection locked="0"/>
    </xf>
    <xf numFmtId="173" fontId="4" fillId="0" borderId="23" xfId="1" applyNumberFormat="1" applyFont="1" applyBorder="1" applyAlignment="1" applyProtection="1">
      <alignment horizontal="center"/>
      <protection locked="0"/>
    </xf>
    <xf numFmtId="173" fontId="4" fillId="0" borderId="24" xfId="1" applyNumberFormat="1" applyFont="1" applyBorder="1" applyAlignment="1" applyProtection="1">
      <alignment horizontal="center"/>
      <protection locked="0"/>
    </xf>
    <xf numFmtId="0" fontId="4" fillId="0" borderId="23" xfId="1" applyFont="1" applyBorder="1" applyAlignment="1" applyProtection="1">
      <alignment horizontal="center"/>
      <protection locked="0"/>
    </xf>
    <xf numFmtId="0" fontId="4" fillId="0" borderId="24" xfId="1" applyFont="1" applyBorder="1" applyAlignment="1" applyProtection="1">
      <alignment horizontal="center"/>
      <protection locked="0"/>
    </xf>
    <xf numFmtId="0" fontId="4" fillId="0" borderId="50" xfId="1" applyFont="1" applyBorder="1" applyAlignment="1" applyProtection="1">
      <alignment horizontal="center"/>
      <protection locked="0"/>
    </xf>
    <xf numFmtId="0" fontId="4" fillId="0" borderId="43" xfId="1" applyFont="1" applyBorder="1" applyAlignment="1" applyProtection="1">
      <alignment horizontal="center"/>
      <protection locked="0"/>
    </xf>
    <xf numFmtId="0" fontId="4" fillId="0" borderId="48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left"/>
      <protection locked="0"/>
    </xf>
    <xf numFmtId="0" fontId="73" fillId="0" borderId="0" xfId="1" applyFont="1" applyAlignment="1" applyProtection="1">
      <alignment horizontal="left"/>
      <protection locked="0"/>
    </xf>
    <xf numFmtId="0" fontId="72" fillId="0" borderId="0" xfId="1" applyFont="1" applyAlignment="1" applyProtection="1">
      <alignment horizontal="left"/>
      <protection locked="0"/>
    </xf>
    <xf numFmtId="0" fontId="74" fillId="0" borderId="0" xfId="1" applyFont="1" applyAlignment="1" applyProtection="1">
      <alignment horizontal="left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wrapText="1"/>
      <protection locked="0"/>
    </xf>
    <xf numFmtId="0" fontId="9" fillId="0" borderId="23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49" fontId="12" fillId="2" borderId="57" xfId="0" applyNumberFormat="1" applyFont="1" applyFill="1" applyBorder="1" applyAlignment="1" applyProtection="1">
      <alignment horizontal="center" vertical="center"/>
      <protection locked="0"/>
    </xf>
    <xf numFmtId="49" fontId="12" fillId="2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49" fontId="7" fillId="0" borderId="2" xfId="0" applyNumberFormat="1" applyFont="1" applyBorder="1" applyAlignment="1" applyProtection="1">
      <alignment horizontal="center" vertical="center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7" fillId="0" borderId="50" xfId="1" applyFont="1" applyBorder="1" applyAlignment="1" applyProtection="1">
      <alignment horizontal="left"/>
      <protection locked="0"/>
    </xf>
    <xf numFmtId="0" fontId="7" fillId="0" borderId="43" xfId="1" applyFont="1" applyBorder="1" applyAlignment="1" applyProtection="1">
      <alignment horizontal="left"/>
      <protection locked="0"/>
    </xf>
    <xf numFmtId="0" fontId="7" fillId="0" borderId="47" xfId="1" applyFont="1" applyBorder="1" applyAlignment="1" applyProtection="1">
      <alignment horizontal="left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0" fontId="14" fillId="0" borderId="100" xfId="1" applyFont="1" applyBorder="1" applyAlignment="1" applyProtection="1">
      <alignment horizontal="right" vertical="center"/>
      <protection locked="0"/>
    </xf>
    <xf numFmtId="0" fontId="14" fillId="0" borderId="76" xfId="1" applyFont="1" applyBorder="1" applyAlignment="1" applyProtection="1">
      <alignment horizontal="right" vertical="center"/>
      <protection locked="0"/>
    </xf>
    <xf numFmtId="0" fontId="14" fillId="0" borderId="78" xfId="1" applyFont="1" applyBorder="1" applyAlignment="1" applyProtection="1">
      <alignment horizontal="right" vertical="center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14" fillId="0" borderId="53" xfId="1" applyFont="1" applyBorder="1" applyAlignment="1" applyProtection="1">
      <alignment horizontal="center" vertical="center"/>
      <protection locked="0"/>
    </xf>
    <xf numFmtId="0" fontId="14" fillId="0" borderId="18" xfId="1" applyFont="1" applyBorder="1" applyAlignment="1" applyProtection="1">
      <alignment horizontal="center" vertical="center"/>
      <protection locked="0"/>
    </xf>
    <xf numFmtId="0" fontId="14" fillId="0" borderId="22" xfId="1" applyFont="1" applyBorder="1" applyAlignment="1" applyProtection="1">
      <alignment horizontal="center" vertical="center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49" fontId="7" fillId="0" borderId="125" xfId="0" applyNumberFormat="1" applyFont="1" applyBorder="1" applyAlignment="1" applyProtection="1">
      <alignment horizontal="center" vertical="center"/>
      <protection locked="0"/>
    </xf>
    <xf numFmtId="49" fontId="7" fillId="0" borderId="44" xfId="0" applyNumberFormat="1" applyFont="1" applyBorder="1" applyAlignment="1" applyProtection="1">
      <alignment horizontal="center" vertical="center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17" fillId="0" borderId="130" xfId="1" applyFont="1" applyBorder="1" applyAlignment="1" applyProtection="1">
      <alignment horizontal="center" vertical="center" shrinkToFit="1"/>
      <protection locked="0"/>
    </xf>
    <xf numFmtId="0" fontId="17" fillId="0" borderId="129" xfId="1" applyFont="1" applyBorder="1" applyAlignment="1" applyProtection="1">
      <alignment horizontal="center" vertical="center" shrinkToFit="1"/>
      <protection locked="0"/>
    </xf>
    <xf numFmtId="0" fontId="27" fillId="0" borderId="26" xfId="1" applyFont="1" applyBorder="1" applyAlignment="1" applyProtection="1">
      <alignment horizontal="center" vertical="center" shrinkToFit="1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7" fillId="0" borderId="42" xfId="1" applyFont="1" applyBorder="1" applyAlignment="1" applyProtection="1">
      <alignment horizontal="center" vertical="center"/>
      <protection locked="0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14" fillId="0" borderId="76" xfId="1" applyFont="1" applyBorder="1" applyAlignment="1" applyProtection="1">
      <alignment horizontal="right"/>
      <protection locked="0"/>
    </xf>
    <xf numFmtId="0" fontId="14" fillId="0" borderId="78" xfId="1" applyFont="1" applyBorder="1" applyAlignment="1" applyProtection="1">
      <alignment horizontal="right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49" fontId="7" fillId="0" borderId="3" xfId="0" applyNumberFormat="1" applyFont="1" applyBorder="1" applyAlignment="1" applyProtection="1">
      <alignment horizontal="center" vertical="center"/>
      <protection locked="0"/>
    </xf>
    <xf numFmtId="49" fontId="7" fillId="0" borderId="35" xfId="0" applyNumberFormat="1" applyFont="1" applyBorder="1" applyAlignment="1" applyProtection="1">
      <alignment horizontal="center" vertical="center"/>
      <protection locked="0"/>
    </xf>
    <xf numFmtId="49" fontId="7" fillId="0" borderId="9" xfId="0" applyNumberFormat="1" applyFont="1" applyBorder="1" applyAlignment="1" applyProtection="1">
      <alignment horizontal="center" vertical="center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164" fontId="13" fillId="0" borderId="51" xfId="1" applyNumberFormat="1" applyFont="1" applyBorder="1" applyAlignment="1" applyProtection="1">
      <alignment horizontal="center" vertical="center" wrapText="1"/>
      <protection locked="0"/>
    </xf>
    <xf numFmtId="164" fontId="13" fillId="0" borderId="24" xfId="1" applyNumberFormat="1" applyFont="1" applyBorder="1" applyAlignment="1" applyProtection="1">
      <alignment horizontal="center" vertical="center" wrapText="1"/>
      <protection locked="0"/>
    </xf>
    <xf numFmtId="164" fontId="13" fillId="0" borderId="50" xfId="1" applyNumberFormat="1" applyFont="1" applyBorder="1" applyAlignment="1" applyProtection="1">
      <alignment horizontal="center" vertical="center" wrapText="1"/>
      <protection locked="0"/>
    </xf>
    <xf numFmtId="164" fontId="13" fillId="0" borderId="48" xfId="1" applyNumberFormat="1" applyFont="1" applyBorder="1" applyAlignment="1" applyProtection="1">
      <alignment horizontal="center" vertical="center" wrapText="1"/>
      <protection locked="0"/>
    </xf>
    <xf numFmtId="0" fontId="27" fillId="0" borderId="51" xfId="1" applyFont="1" applyBorder="1" applyAlignment="1" applyProtection="1">
      <alignment horizontal="left" vertical="center" shrinkToFit="1"/>
      <protection locked="0"/>
    </xf>
    <xf numFmtId="0" fontId="27" fillId="0" borderId="23" xfId="1" applyFont="1" applyBorder="1" applyAlignment="1" applyProtection="1">
      <alignment horizontal="left" vertical="center" shrinkToFit="1"/>
      <protection locked="0"/>
    </xf>
    <xf numFmtId="0" fontId="27" fillId="0" borderId="24" xfId="1" applyFont="1" applyBorder="1" applyAlignment="1" applyProtection="1">
      <alignment horizontal="left" vertical="center" shrinkToFit="1"/>
      <protection locked="0"/>
    </xf>
    <xf numFmtId="0" fontId="27" fillId="0" borderId="53" xfId="1" applyFont="1" applyBorder="1" applyAlignment="1" applyProtection="1">
      <alignment horizontal="left" vertical="center" shrinkToFit="1"/>
      <protection locked="0"/>
    </xf>
    <xf numFmtId="0" fontId="27" fillId="0" borderId="18" xfId="1" applyFont="1" applyBorder="1" applyAlignment="1" applyProtection="1">
      <alignment horizontal="left" vertical="center" shrinkToFit="1"/>
      <protection locked="0"/>
    </xf>
    <xf numFmtId="0" fontId="27" fillId="0" borderId="34" xfId="1" applyFont="1" applyBorder="1" applyAlignment="1" applyProtection="1">
      <alignment horizontal="left" vertical="center" shrinkToFit="1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8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22" xfId="1" applyFont="1" applyFill="1" applyBorder="1" applyAlignment="1" applyProtection="1">
      <alignment horizontal="center" vertical="center" shrinkToFit="1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17" fillId="0" borderId="123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40" fillId="0" borderId="7" xfId="1" applyFont="1" applyBorder="1" applyAlignment="1" applyProtection="1">
      <alignment horizontal="center" vertical="top"/>
      <protection locked="0"/>
    </xf>
    <xf numFmtId="0" fontId="40" fillId="0" borderId="11" xfId="1" applyFont="1" applyBorder="1" applyAlignment="1" applyProtection="1">
      <alignment horizontal="center" vertical="top"/>
      <protection locked="0"/>
    </xf>
    <xf numFmtId="0" fontId="40" fillId="0" borderId="46" xfId="1" applyFont="1" applyBorder="1" applyAlignment="1" applyProtection="1">
      <alignment horizontal="center" vertical="top"/>
      <protection locked="0"/>
    </xf>
    <xf numFmtId="0" fontId="33" fillId="0" borderId="6" xfId="1" applyFont="1" applyBorder="1" applyAlignment="1" applyProtection="1">
      <alignment horizontal="center" vertical="top"/>
      <protection locked="0"/>
    </xf>
    <xf numFmtId="0" fontId="33" fillId="0" borderId="10" xfId="1" applyFont="1" applyBorder="1" applyAlignment="1" applyProtection="1">
      <alignment horizontal="center" vertical="top"/>
      <protection locked="0"/>
    </xf>
    <xf numFmtId="0" fontId="33" fillId="0" borderId="45" xfId="1" applyFont="1" applyBorder="1" applyAlignment="1" applyProtection="1">
      <alignment horizontal="center" vertical="top"/>
      <protection locked="0"/>
    </xf>
    <xf numFmtId="0" fontId="8" fillId="0" borderId="51" xfId="1" applyFont="1" applyBorder="1" applyAlignment="1" applyProtection="1">
      <alignment horizontal="center" vertical="center" shrinkToFit="1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0" fontId="9" fillId="0" borderId="12" xfId="1" applyFont="1" applyBorder="1" applyAlignment="1" applyProtection="1">
      <alignment horizontal="center"/>
      <protection locked="0"/>
    </xf>
    <xf numFmtId="0" fontId="27" fillId="0" borderId="53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9" fillId="0" borderId="57" xfId="1" applyFont="1" applyBorder="1" applyAlignment="1" applyProtection="1">
      <alignment horizontal="left"/>
      <protection locked="0"/>
    </xf>
    <xf numFmtId="0" fontId="9" fillId="0" borderId="40" xfId="1" applyFont="1" applyBorder="1" applyAlignment="1" applyProtection="1">
      <alignment horizontal="left"/>
      <protection locked="0"/>
    </xf>
    <xf numFmtId="0" fontId="9" fillId="0" borderId="41" xfId="1" applyFont="1" applyBorder="1" applyAlignment="1" applyProtection="1">
      <alignment horizontal="left"/>
      <protection locked="0"/>
    </xf>
    <xf numFmtId="0" fontId="9" fillId="0" borderId="50" xfId="1" applyFont="1" applyBorder="1" applyAlignment="1" applyProtection="1">
      <alignment horizontal="left"/>
      <protection locked="0"/>
    </xf>
    <xf numFmtId="0" fontId="9" fillId="0" borderId="43" xfId="1" applyFont="1" applyBorder="1" applyAlignment="1" applyProtection="1">
      <alignment horizontal="left"/>
      <protection locked="0"/>
    </xf>
    <xf numFmtId="0" fontId="9" fillId="0" borderId="47" xfId="1" applyFont="1" applyBorder="1" applyAlignment="1" applyProtection="1">
      <alignment horizontal="left"/>
      <protection locked="0"/>
    </xf>
    <xf numFmtId="0" fontId="7" fillId="0" borderId="58" xfId="1" applyFont="1" applyBorder="1" applyAlignment="1" applyProtection="1">
      <alignment horizontal="center" vertical="center"/>
      <protection locked="0"/>
    </xf>
    <xf numFmtId="0" fontId="7" fillId="0" borderId="28" xfId="1" applyFont="1" applyBorder="1" applyAlignment="1" applyProtection="1">
      <alignment horizontal="center" vertical="center"/>
      <protection locked="0"/>
    </xf>
    <xf numFmtId="165" fontId="13" fillId="0" borderId="58" xfId="4" applyFont="1" applyFill="1" applyBorder="1" applyAlignment="1" applyProtection="1">
      <alignment horizontal="center"/>
      <protection locked="0"/>
    </xf>
    <xf numFmtId="165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9" fillId="33" borderId="56" xfId="1" applyFont="1" applyFill="1" applyBorder="1" applyAlignment="1" applyProtection="1">
      <alignment horizontal="left"/>
      <protection locked="0"/>
    </xf>
    <xf numFmtId="0" fontId="9" fillId="33" borderId="29" xfId="1" applyFont="1" applyFill="1" applyBorder="1" applyAlignment="1" applyProtection="1">
      <alignment horizontal="left"/>
      <protection locked="0"/>
    </xf>
    <xf numFmtId="0" fontId="9" fillId="33" borderId="42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 vertical="center" wrapText="1"/>
      <protection locked="0"/>
    </xf>
    <xf numFmtId="0" fontId="9" fillId="0" borderId="13" xfId="1" applyFont="1" applyBorder="1" applyAlignment="1" applyProtection="1">
      <alignment horizontal="left" vertical="center" wrapText="1"/>
      <protection locked="0"/>
    </xf>
    <xf numFmtId="0" fontId="9" fillId="0" borderId="17" xfId="1" applyFont="1" applyBorder="1" applyAlignment="1" applyProtection="1">
      <alignment horizontal="left" vertical="center" wrapText="1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0" fontId="27" fillId="38" borderId="62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8" fillId="38" borderId="59" xfId="1" applyFont="1" applyFill="1" applyBorder="1" applyAlignment="1" applyProtection="1">
      <alignment horizontal="center" vertical="center" shrinkToFit="1"/>
      <protection locked="0"/>
    </xf>
    <xf numFmtId="0" fontId="8" fillId="38" borderId="33" xfId="1" applyFont="1" applyFill="1" applyBorder="1" applyAlignment="1" applyProtection="1">
      <alignment horizontal="center" vertical="center" shrinkToFit="1"/>
      <protection locked="0"/>
    </xf>
    <xf numFmtId="0" fontId="22" fillId="34" borderId="117" xfId="1" applyFont="1" applyFill="1" applyBorder="1" applyAlignment="1" applyProtection="1">
      <alignment horizontal="center" vertical="center" wrapText="1"/>
      <protection locked="0"/>
    </xf>
    <xf numFmtId="0" fontId="22" fillId="34" borderId="118" xfId="1" applyFont="1" applyFill="1" applyBorder="1" applyAlignment="1" applyProtection="1">
      <alignment horizontal="center" vertical="center" wrapText="1"/>
      <protection locked="0"/>
    </xf>
    <xf numFmtId="0" fontId="22" fillId="34" borderId="121" xfId="1" applyFont="1" applyFill="1" applyBorder="1" applyAlignment="1" applyProtection="1">
      <alignment horizontal="center" vertical="center" wrapText="1"/>
      <protection locked="0"/>
    </xf>
    <xf numFmtId="0" fontId="22" fillId="34" borderId="122" xfId="1" applyFont="1" applyFill="1" applyBorder="1" applyAlignment="1" applyProtection="1">
      <alignment horizontal="center" vertical="center" wrapText="1"/>
      <protection locked="0"/>
    </xf>
    <xf numFmtId="0" fontId="47" fillId="35" borderId="117" xfId="1" applyFont="1" applyFill="1" applyBorder="1" applyAlignment="1" applyProtection="1">
      <alignment horizontal="center" vertical="center" wrapText="1"/>
      <protection locked="0"/>
    </xf>
    <xf numFmtId="0" fontId="47" fillId="35" borderId="118" xfId="1" applyFont="1" applyFill="1" applyBorder="1" applyAlignment="1" applyProtection="1">
      <alignment horizontal="center" vertical="center" wrapText="1"/>
      <protection locked="0"/>
    </xf>
    <xf numFmtId="0" fontId="47" fillId="35" borderId="121" xfId="1" applyFont="1" applyFill="1" applyBorder="1" applyAlignment="1" applyProtection="1">
      <alignment horizontal="center" vertical="center" wrapText="1"/>
      <protection locked="0"/>
    </xf>
    <xf numFmtId="0" fontId="47" fillId="35" borderId="122" xfId="1" applyFont="1" applyFill="1" applyBorder="1" applyAlignment="1" applyProtection="1">
      <alignment horizontal="center" vertical="center" wrapText="1"/>
      <protection locked="0"/>
    </xf>
    <xf numFmtId="0" fontId="27" fillId="38" borderId="34" xfId="1" applyFont="1" applyFill="1" applyBorder="1" applyAlignment="1" applyProtection="1">
      <alignment horizontal="center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8" fillId="38" borderId="34" xfId="1" applyFont="1" applyFill="1" applyBorder="1" applyAlignment="1" applyProtection="1">
      <alignment horizontal="center" vertical="center" shrinkToFit="1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8" fillId="2" borderId="61" xfId="1" applyFont="1" applyFill="1" applyBorder="1" applyAlignment="1" applyProtection="1">
      <alignment horizontal="center" vertical="center" shrinkToFit="1"/>
      <protection locked="0"/>
    </xf>
    <xf numFmtId="0" fontId="8" fillId="2" borderId="12" xfId="1" applyFont="1" applyFill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8" fillId="38" borderId="55" xfId="1" applyFont="1" applyFill="1" applyBorder="1" applyAlignment="1" applyProtection="1">
      <alignment horizontal="center" vertical="center" shrinkToFit="1"/>
      <protection locked="0"/>
    </xf>
    <xf numFmtId="0" fontId="8" fillId="38" borderId="48" xfId="1" applyFont="1" applyFill="1" applyBorder="1" applyAlignment="1" applyProtection="1">
      <alignment horizontal="center" vertical="center" shrinkToFit="1"/>
      <protection locked="0"/>
    </xf>
    <xf numFmtId="0" fontId="4" fillId="38" borderId="51" xfId="1" applyFont="1" applyFill="1" applyBorder="1" applyAlignment="1" applyProtection="1">
      <alignment horizontal="left" vertical="center"/>
      <protection locked="0"/>
    </xf>
    <xf numFmtId="0" fontId="4" fillId="38" borderId="23" xfId="1" applyFont="1" applyFill="1" applyBorder="1" applyAlignment="1" applyProtection="1">
      <alignment horizontal="left" vertical="center"/>
      <protection locked="0"/>
    </xf>
    <xf numFmtId="0" fontId="4" fillId="38" borderId="24" xfId="1" applyFont="1" applyFill="1" applyBorder="1" applyAlignment="1" applyProtection="1">
      <alignment horizontal="left" vertical="center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49" fontId="7" fillId="0" borderId="58" xfId="0" applyNumberFormat="1" applyFont="1" applyBorder="1" applyAlignment="1" applyProtection="1">
      <alignment horizontal="center" vertical="center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164" fontId="13" fillId="0" borderId="58" xfId="1" applyNumberFormat="1" applyFont="1" applyBorder="1" applyAlignment="1" applyProtection="1">
      <alignment horizontal="center" vertical="center"/>
      <protection locked="0"/>
    </xf>
    <xf numFmtId="164" fontId="13" fillId="0" borderId="4" xfId="1" applyNumberFormat="1" applyFont="1" applyBorder="1" applyAlignment="1" applyProtection="1">
      <alignment horizontal="center" vertical="center"/>
      <protection locked="0"/>
    </xf>
    <xf numFmtId="164" fontId="13" fillId="0" borderId="28" xfId="1" applyNumberFormat="1" applyFont="1" applyBorder="1" applyAlignment="1" applyProtection="1">
      <alignment horizontal="center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0" borderId="50" xfId="1" applyFont="1" applyBorder="1" applyAlignment="1" applyProtection="1">
      <alignment horizontal="center" vertical="center" shrinkToFit="1"/>
      <protection locked="0"/>
    </xf>
    <xf numFmtId="0" fontId="27" fillId="0" borderId="51" xfId="1" applyFont="1" applyBorder="1" applyAlignment="1" applyProtection="1">
      <alignment horizontal="center" vertical="center" shrinkToFit="1"/>
      <protection locked="0"/>
    </xf>
    <xf numFmtId="0" fontId="14" fillId="0" borderId="100" xfId="1" applyFont="1" applyBorder="1" applyAlignment="1" applyProtection="1">
      <alignment horizontal="left" vertical="center" shrinkToFit="1"/>
      <protection locked="0"/>
    </xf>
    <xf numFmtId="0" fontId="14" fillId="0" borderId="78" xfId="1" applyFont="1" applyBorder="1" applyAlignment="1" applyProtection="1">
      <alignment horizontal="left" vertical="center" shrinkToFit="1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17" fillId="0" borderId="70" xfId="1" applyFont="1" applyBorder="1" applyAlignment="1" applyProtection="1">
      <alignment horizontal="right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9" fillId="0" borderId="53" xfId="1" applyFont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alignment horizontal="center"/>
      <protection locked="0"/>
    </xf>
    <xf numFmtId="0" fontId="9" fillId="0" borderId="22" xfId="1" applyFont="1" applyBorder="1" applyAlignment="1" applyProtection="1">
      <alignment horizontal="center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4" fillId="38" borderId="53" xfId="1" applyFont="1" applyFill="1" applyBorder="1" applyAlignment="1" applyProtection="1">
      <alignment horizontal="left" vertical="center"/>
      <protection locked="0"/>
    </xf>
    <xf numFmtId="0" fontId="4" fillId="38" borderId="18" xfId="1" applyFont="1" applyFill="1" applyBorder="1" applyAlignment="1" applyProtection="1">
      <alignment horizontal="left" vertical="center"/>
      <protection locked="0"/>
    </xf>
    <xf numFmtId="0" fontId="4" fillId="38" borderId="34" xfId="1" applyFont="1" applyFill="1" applyBorder="1" applyAlignment="1" applyProtection="1">
      <alignment horizontal="left" vertical="center"/>
      <protection locked="0"/>
    </xf>
    <xf numFmtId="165" fontId="61" fillId="38" borderId="50" xfId="4" applyFont="1" applyFill="1" applyBorder="1" applyAlignment="1" applyProtection="1">
      <alignment horizontal="center" vertical="center" shrinkToFit="1"/>
      <protection locked="0"/>
    </xf>
    <xf numFmtId="165" fontId="61" fillId="38" borderId="47" xfId="4" applyFont="1" applyFill="1" applyBorder="1" applyAlignment="1" applyProtection="1">
      <alignment horizontal="center" vertical="center" shrinkToFit="1"/>
      <protection locked="0"/>
    </xf>
    <xf numFmtId="165" fontId="61" fillId="38" borderId="53" xfId="4" applyFont="1" applyFill="1" applyBorder="1" applyAlignment="1" applyProtection="1">
      <alignment horizontal="center" vertical="center" shrinkToFit="1"/>
      <protection locked="0"/>
    </xf>
    <xf numFmtId="165" fontId="61" fillId="38" borderId="22" xfId="4" applyFont="1" applyFill="1" applyBorder="1" applyAlignment="1" applyProtection="1">
      <alignment horizontal="center" vertical="center" shrinkToFit="1"/>
      <protection locked="0"/>
    </xf>
    <xf numFmtId="0" fontId="8" fillId="38" borderId="47" xfId="1" applyFont="1" applyFill="1" applyBorder="1" applyAlignment="1" applyProtection="1">
      <alignment horizontal="center" vertical="center" shrinkToFit="1"/>
      <protection locked="0"/>
    </xf>
    <xf numFmtId="0" fontId="7" fillId="0" borderId="36" xfId="1" applyFont="1" applyBorder="1" applyAlignment="1" applyProtection="1">
      <alignment horizontal="center"/>
      <protection locked="0"/>
    </xf>
    <xf numFmtId="0" fontId="7" fillId="0" borderId="37" xfId="1" applyFont="1" applyBorder="1" applyAlignment="1" applyProtection="1">
      <alignment horizontal="center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7" fillId="0" borderId="100" xfId="1" applyFont="1" applyBorder="1" applyAlignment="1" applyProtection="1">
      <alignment horizontal="center" vertical="center" shrinkToFit="1"/>
      <protection locked="0"/>
    </xf>
    <xf numFmtId="0" fontId="13" fillId="0" borderId="26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center"/>
      <protection locked="0"/>
    </xf>
    <xf numFmtId="0" fontId="13" fillId="0" borderId="12" xfId="1" applyFont="1" applyBorder="1" applyAlignment="1" applyProtection="1">
      <alignment horizontal="center"/>
      <protection locked="0"/>
    </xf>
    <xf numFmtId="165" fontId="61" fillId="38" borderId="52" xfId="4" applyFont="1" applyFill="1" applyBorder="1" applyAlignment="1" applyProtection="1">
      <alignment horizontal="center" vertical="center" shrinkToFit="1"/>
      <protection locked="0"/>
    </xf>
    <xf numFmtId="165" fontId="61" fillId="38" borderId="17" xfId="4" applyFont="1" applyFill="1" applyBorder="1" applyAlignment="1" applyProtection="1">
      <alignment horizontal="center" vertical="center" shrinkToFit="1"/>
      <protection locked="0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8" fillId="2" borderId="26" xfId="1" applyFont="1" applyFill="1" applyBorder="1" applyAlignment="1" applyProtection="1">
      <alignment horizontal="center" vertical="center" shrinkToFit="1"/>
      <protection locked="0"/>
    </xf>
    <xf numFmtId="0" fontId="8" fillId="2" borderId="50" xfId="1" applyFont="1" applyFill="1" applyBorder="1" applyAlignment="1" applyProtection="1">
      <alignment horizontal="center" vertical="center" shrinkToFit="1"/>
      <protection locked="0"/>
    </xf>
    <xf numFmtId="0" fontId="8" fillId="2" borderId="47" xfId="1" applyFont="1" applyFill="1" applyBorder="1" applyAlignment="1" applyProtection="1">
      <alignment horizontal="center" vertical="center" shrinkToFit="1"/>
      <protection locked="0"/>
    </xf>
    <xf numFmtId="0" fontId="85" fillId="0" borderId="3" xfId="1" applyFont="1" applyBorder="1" applyAlignment="1" applyProtection="1">
      <alignment horizontal="left" vertical="center" shrinkToFit="1"/>
      <protection locked="0"/>
    </xf>
    <xf numFmtId="0" fontId="85" fillId="0" borderId="4" xfId="1" applyFont="1" applyBorder="1" applyAlignment="1" applyProtection="1">
      <alignment horizontal="left" vertical="center" shrinkToFit="1"/>
      <protection locked="0"/>
    </xf>
    <xf numFmtId="0" fontId="85" fillId="0" borderId="35" xfId="1" applyFont="1" applyBorder="1" applyAlignment="1" applyProtection="1">
      <alignment horizontal="left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0" fontId="42" fillId="0" borderId="57" xfId="1" applyFont="1" applyBorder="1" applyAlignment="1" applyProtection="1">
      <alignment horizontal="left" vertical="center"/>
      <protection locked="0"/>
    </xf>
    <xf numFmtId="0" fontId="42" fillId="0" borderId="40" xfId="1" applyFont="1" applyBorder="1" applyAlignment="1" applyProtection="1">
      <alignment horizontal="left" vertical="center"/>
      <protection locked="0"/>
    </xf>
    <xf numFmtId="0" fontId="42" fillId="0" borderId="41" xfId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39" fillId="0" borderId="7" xfId="1" applyFont="1" applyBorder="1" applyAlignment="1" applyProtection="1">
      <alignment horizontal="center" vertical="top"/>
      <protection locked="0"/>
    </xf>
    <xf numFmtId="0" fontId="39" fillId="0" borderId="11" xfId="1" applyFont="1" applyBorder="1" applyAlignment="1" applyProtection="1">
      <alignment horizontal="center" vertical="top"/>
      <protection locked="0"/>
    </xf>
    <xf numFmtId="0" fontId="39" fillId="0" borderId="46" xfId="1" applyFont="1" applyBorder="1" applyAlignment="1" applyProtection="1">
      <alignment horizontal="center" vertical="top"/>
      <protection locked="0"/>
    </xf>
    <xf numFmtId="0" fontId="32" fillId="0" borderId="6" xfId="1" applyFont="1" applyBorder="1" applyAlignment="1" applyProtection="1">
      <alignment horizontal="center" vertical="top"/>
      <protection locked="0"/>
    </xf>
    <xf numFmtId="0" fontId="32" fillId="0" borderId="10" xfId="1" applyFont="1" applyBorder="1" applyAlignment="1" applyProtection="1">
      <alignment horizontal="center" vertical="top"/>
      <protection locked="0"/>
    </xf>
    <xf numFmtId="0" fontId="32" fillId="0" borderId="45" xfId="1" applyFont="1" applyBorder="1" applyAlignment="1" applyProtection="1">
      <alignment horizontal="center" vertical="top"/>
      <protection locked="0"/>
    </xf>
    <xf numFmtId="0" fontId="20" fillId="9" borderId="0" xfId="1" applyFont="1" applyFill="1" applyAlignment="1" applyProtection="1">
      <alignment horizontal="center" vertical="center" wrapText="1"/>
      <protection locked="0"/>
    </xf>
    <xf numFmtId="0" fontId="7" fillId="0" borderId="57" xfId="1" applyFont="1" applyBorder="1" applyAlignment="1" applyProtection="1">
      <alignment horizontal="center" vertical="center"/>
      <protection locked="0"/>
    </xf>
    <xf numFmtId="0" fontId="7" fillId="0" borderId="40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14" fillId="0" borderId="128" xfId="0" applyFont="1" applyBorder="1" applyAlignment="1" applyProtection="1">
      <alignment horizontal="left" vertical="center"/>
      <protection locked="0"/>
    </xf>
    <xf numFmtId="0" fontId="14" fillId="0" borderId="45" xfId="0" applyFont="1" applyBorder="1" applyAlignment="1" applyProtection="1">
      <alignment horizontal="left" vertical="center"/>
      <protection locked="0"/>
    </xf>
    <xf numFmtId="0" fontId="14" fillId="0" borderId="10" xfId="0" applyFont="1" applyBorder="1" applyAlignment="1" applyProtection="1">
      <alignment horizontal="left" vertical="center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Border="1" applyAlignment="1" applyProtection="1">
      <alignment horizontal="center" vertical="center" shrinkToFit="1"/>
      <protection locked="0"/>
    </xf>
    <xf numFmtId="0" fontId="64" fillId="0" borderId="48" xfId="1" applyFont="1" applyBorder="1" applyAlignment="1" applyProtection="1">
      <alignment horizontal="center" vertical="center" shrinkToFit="1"/>
      <protection locked="0"/>
    </xf>
    <xf numFmtId="49" fontId="7" fillId="0" borderId="28" xfId="0" applyNumberFormat="1" applyFont="1" applyBorder="1" applyAlignment="1" applyProtection="1">
      <alignment horizontal="center" vertic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49" fontId="7" fillId="0" borderId="126" xfId="0" applyNumberFormat="1" applyFont="1" applyBorder="1" applyAlignment="1" applyProtection="1">
      <alignment horizontal="center" vertical="center"/>
      <protection locked="0"/>
    </xf>
    <xf numFmtId="0" fontId="8" fillId="0" borderId="59" xfId="1" applyFont="1" applyBorder="1" applyAlignment="1" applyProtection="1">
      <alignment horizontal="center" vertical="center" wrapText="1" shrinkToFit="1"/>
      <protection locked="0"/>
    </xf>
    <xf numFmtId="0" fontId="8" fillId="0" borderId="13" xfId="1" applyFont="1" applyBorder="1" applyAlignment="1" applyProtection="1">
      <alignment horizontal="center" vertical="center" wrapText="1" shrinkToFit="1"/>
      <protection locked="0"/>
    </xf>
    <xf numFmtId="0" fontId="8" fillId="0" borderId="33" xfId="1" applyFont="1" applyBorder="1" applyAlignment="1" applyProtection="1">
      <alignment horizontal="center" vertical="center" wrapText="1" shrinkToFit="1"/>
      <protection locked="0"/>
    </xf>
    <xf numFmtId="0" fontId="8" fillId="0" borderId="62" xfId="1" applyFont="1" applyBorder="1" applyAlignment="1" applyProtection="1">
      <alignment horizontal="center" vertical="center" wrapText="1" shrinkToFit="1"/>
      <protection locked="0"/>
    </xf>
    <xf numFmtId="0" fontId="8" fillId="0" borderId="18" xfId="1" applyFont="1" applyBorder="1" applyAlignment="1" applyProtection="1">
      <alignment horizontal="center" vertical="center" wrapText="1" shrinkToFit="1"/>
      <protection locked="0"/>
    </xf>
    <xf numFmtId="0" fontId="8" fillId="0" borderId="34" xfId="1" applyFont="1" applyBorder="1" applyAlignment="1" applyProtection="1">
      <alignment horizontal="center" vertical="center" wrapText="1" shrinkToFit="1"/>
      <protection locked="0"/>
    </xf>
    <xf numFmtId="0" fontId="83" fillId="0" borderId="115" xfId="1" applyFont="1" applyBorder="1" applyAlignment="1" applyProtection="1">
      <alignment horizontal="center" vertical="center" shrinkToFit="1"/>
      <protection locked="0"/>
    </xf>
    <xf numFmtId="0" fontId="83" fillId="0" borderId="65" xfId="1" applyFont="1" applyBorder="1" applyAlignment="1" applyProtection="1">
      <alignment horizontal="center" vertical="center" shrinkToFit="1"/>
      <protection locked="0"/>
    </xf>
    <xf numFmtId="0" fontId="83" fillId="0" borderId="102" xfId="1" applyFont="1" applyBorder="1" applyAlignment="1" applyProtection="1">
      <alignment horizontal="center" vertical="center" shrinkToFit="1"/>
      <protection locked="0"/>
    </xf>
    <xf numFmtId="0" fontId="83" fillId="0" borderId="63" xfId="1" applyFont="1" applyBorder="1" applyAlignment="1" applyProtection="1">
      <alignment horizontal="center" vertical="center" shrinkToFit="1"/>
      <protection locked="0"/>
    </xf>
    <xf numFmtId="0" fontId="83" fillId="2" borderId="115" xfId="1" applyFont="1" applyFill="1" applyBorder="1" applyAlignment="1" applyProtection="1">
      <alignment horizontal="center" vertical="center" shrinkToFit="1"/>
      <protection locked="0"/>
    </xf>
    <xf numFmtId="0" fontId="83" fillId="2" borderId="63" xfId="1" applyFont="1" applyFill="1" applyBorder="1" applyAlignment="1" applyProtection="1">
      <alignment horizontal="center" vertical="center" shrinkToFit="1"/>
      <protection locked="0"/>
    </xf>
    <xf numFmtId="0" fontId="83" fillId="2" borderId="65" xfId="1" applyFont="1" applyFill="1" applyBorder="1" applyAlignment="1" applyProtection="1">
      <alignment horizontal="center" vertical="center" shrinkToFit="1"/>
      <protection locked="0"/>
    </xf>
    <xf numFmtId="0" fontId="86" fillId="0" borderId="63" xfId="1" applyFont="1" applyBorder="1" applyAlignment="1" applyProtection="1">
      <alignment horizontal="right" vertical="center" shrinkToFit="1"/>
      <protection locked="0"/>
    </xf>
    <xf numFmtId="0" fontId="83" fillId="0" borderId="63" xfId="1" applyFont="1" applyBorder="1" applyAlignment="1" applyProtection="1">
      <alignment horizontal="right" vertical="center" shrinkToFit="1"/>
      <protection locked="0"/>
    </xf>
    <xf numFmtId="0" fontId="86" fillId="0" borderId="115" xfId="1" applyFont="1" applyBorder="1" applyAlignment="1" applyProtection="1">
      <alignment horizontal="right" vertical="center" shrinkToFit="1"/>
      <protection locked="0"/>
    </xf>
    <xf numFmtId="0" fontId="31" fillId="0" borderId="4" xfId="1" applyFont="1" applyBorder="1" applyAlignment="1" applyProtection="1">
      <alignment horizontal="center" vertical="center" shrinkToFit="1"/>
      <protection locked="0"/>
    </xf>
    <xf numFmtId="0" fontId="31" fillId="0" borderId="28" xfId="1" applyFont="1" applyBorder="1" applyAlignment="1" applyProtection="1">
      <alignment horizontal="center" vertical="center" shrinkToFit="1"/>
      <protection locked="0"/>
    </xf>
    <xf numFmtId="0" fontId="44" fillId="0" borderId="1" xfId="1" applyFont="1" applyBorder="1" applyAlignment="1" applyProtection="1">
      <alignment horizontal="center" vertical="center" shrinkToFit="1"/>
      <protection locked="0"/>
    </xf>
    <xf numFmtId="0" fontId="44" fillId="0" borderId="40" xfId="1" applyFont="1" applyBorder="1" applyAlignment="1" applyProtection="1">
      <alignment horizontal="center" vertical="center" shrinkToFi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43" fillId="0" borderId="40" xfId="1" applyFont="1" applyBorder="1" applyAlignment="1" applyProtection="1">
      <alignment horizontal="center" vertical="center" shrinkToFit="1"/>
      <protection locked="0"/>
    </xf>
    <xf numFmtId="0" fontId="43" fillId="0" borderId="2" xfId="1" applyFont="1" applyBorder="1" applyAlignment="1" applyProtection="1">
      <alignment horizontal="center" vertical="center" shrinkToFit="1"/>
      <protection locked="0"/>
    </xf>
    <xf numFmtId="0" fontId="8" fillId="2" borderId="25" xfId="1" applyFont="1" applyFill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shrinkToFit="1"/>
      <protection locked="0"/>
    </xf>
    <xf numFmtId="0" fontId="9" fillId="0" borderId="23" xfId="1" applyFont="1" applyBorder="1" applyAlignment="1" applyProtection="1">
      <alignment horizontal="left" vertical="center" shrinkToFit="1"/>
      <protection locked="0"/>
    </xf>
    <xf numFmtId="0" fontId="9" fillId="0" borderId="8" xfId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0" xfId="1" applyFont="1" applyFill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20" fillId="37" borderId="117" xfId="1" applyFont="1" applyFill="1" applyBorder="1" applyAlignment="1">
      <alignment horizontal="center" vertical="center" wrapText="1"/>
    </xf>
    <xf numFmtId="0" fontId="20" fillId="37" borderId="118" xfId="1" applyFont="1" applyFill="1" applyBorder="1" applyAlignment="1">
      <alignment horizontal="center" vertical="center" wrapText="1"/>
    </xf>
    <xf numFmtId="0" fontId="20" fillId="37" borderId="119" xfId="1" applyFont="1" applyFill="1" applyBorder="1" applyAlignment="1">
      <alignment horizontal="center" vertical="center" wrapText="1"/>
    </xf>
    <xf numFmtId="0" fontId="20" fillId="37" borderId="120" xfId="1" applyFont="1" applyFill="1" applyBorder="1" applyAlignment="1">
      <alignment horizontal="center" vertical="center" wrapText="1"/>
    </xf>
    <xf numFmtId="0" fontId="20" fillId="37" borderId="121" xfId="1" applyFont="1" applyFill="1" applyBorder="1" applyAlignment="1">
      <alignment horizontal="center" vertical="center" wrapText="1"/>
    </xf>
    <xf numFmtId="0" fontId="20" fillId="37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Border="1" applyAlignment="1" applyProtection="1">
      <alignment horizontal="center" vertical="center"/>
      <protection locked="0"/>
    </xf>
    <xf numFmtId="49" fontId="25" fillId="0" borderId="41" xfId="0" applyNumberFormat="1" applyFont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49" fontId="12" fillId="0" borderId="57" xfId="0" applyNumberFormat="1" applyFont="1" applyBorder="1" applyAlignment="1" applyProtection="1">
      <alignment horizontal="center" vertical="center"/>
      <protection locked="0"/>
    </xf>
    <xf numFmtId="49" fontId="12" fillId="0" borderId="41" xfId="0" applyNumberFormat="1" applyFont="1" applyBorder="1" applyAlignment="1" applyProtection="1">
      <alignment horizontal="center" vertical="center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168" fontId="7" fillId="0" borderId="11" xfId="0" applyNumberFormat="1" applyFont="1" applyBorder="1" applyAlignment="1" applyProtection="1">
      <alignment horizontal="center" vertical="center"/>
      <protection locked="0"/>
    </xf>
    <xf numFmtId="168" fontId="7" fillId="0" borderId="46" xfId="0" applyNumberFormat="1" applyFont="1" applyBorder="1" applyAlignment="1" applyProtection="1">
      <alignment horizontal="center" vertical="center"/>
      <protection locked="0"/>
    </xf>
    <xf numFmtId="168" fontId="7" fillId="0" borderId="9" xfId="0" applyNumberFormat="1" applyFont="1" applyBorder="1" applyAlignment="1" applyProtection="1">
      <alignment horizontal="center" vertical="center"/>
      <protection locked="0"/>
    </xf>
    <xf numFmtId="168" fontId="7" fillId="0" borderId="44" xfId="0" applyNumberFormat="1" applyFont="1" applyBorder="1" applyAlignment="1" applyProtection="1">
      <alignment horizontal="center" vertical="center"/>
      <protection locked="0"/>
    </xf>
    <xf numFmtId="168" fontId="7" fillId="0" borderId="136" xfId="0" applyNumberFormat="1" applyFont="1" applyBorder="1" applyAlignment="1" applyProtection="1">
      <alignment horizontal="center" vertical="center"/>
      <protection locked="0"/>
    </xf>
    <xf numFmtId="168" fontId="7" fillId="0" borderId="137" xfId="0" applyNumberFormat="1" applyFont="1" applyBorder="1" applyAlignment="1" applyProtection="1">
      <alignment horizontal="center" vertical="center"/>
      <protection locked="0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0" fontId="19" fillId="0" borderId="102" xfId="1" applyFont="1" applyBorder="1" applyAlignment="1" applyProtection="1">
      <alignment horizontal="left" vertical="center" shrinkToFit="1"/>
      <protection locked="0"/>
    </xf>
    <xf numFmtId="0" fontId="19" fillId="0" borderId="63" xfId="1" applyFont="1" applyBorder="1" applyAlignment="1" applyProtection="1">
      <alignment horizontal="left" vertical="center" shrinkToFit="1"/>
      <protection locked="0"/>
    </xf>
    <xf numFmtId="0" fontId="28" fillId="0" borderId="63" xfId="1" applyFont="1" applyBorder="1" applyAlignment="1" applyProtection="1">
      <alignment horizontal="center" vertical="center" shrinkToFit="1"/>
      <protection locked="0"/>
    </xf>
    <xf numFmtId="0" fontId="19" fillId="0" borderId="63" xfId="1" applyFont="1" applyBorder="1" applyAlignment="1" applyProtection="1">
      <alignment horizontal="center" vertical="center" shrinkToFit="1"/>
      <protection locked="0"/>
    </xf>
    <xf numFmtId="0" fontId="8" fillId="0" borderId="63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14" fillId="0" borderId="50" xfId="1" applyFont="1" applyBorder="1" applyAlignment="1" applyProtection="1">
      <alignment horizontal="center" vertical="center" wrapText="1" shrinkToFit="1"/>
      <protection locked="0"/>
    </xf>
    <xf numFmtId="0" fontId="14" fillId="0" borderId="48" xfId="1" applyFont="1" applyBorder="1" applyAlignment="1" applyProtection="1">
      <alignment horizontal="center" vertical="center" wrapText="1" shrinkToFit="1"/>
      <protection locked="0"/>
    </xf>
    <xf numFmtId="0" fontId="7" fillId="0" borderId="23" xfId="1" applyFont="1" applyBorder="1" applyAlignment="1" applyProtection="1">
      <alignment horizontal="center"/>
      <protection locked="0"/>
    </xf>
    <xf numFmtId="0" fontId="7" fillId="0" borderId="8" xfId="1" applyFont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5" fontId="8" fillId="0" borderId="51" xfId="4" applyFont="1" applyFill="1" applyBorder="1" applyAlignment="1" applyProtection="1">
      <alignment horizontal="center" vertical="center" shrinkToFit="1"/>
      <protection locked="0"/>
    </xf>
    <xf numFmtId="165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5" fontId="8" fillId="0" borderId="52" xfId="4" applyFont="1" applyFill="1" applyBorder="1" applyAlignment="1" applyProtection="1">
      <alignment horizontal="center" vertical="center" shrinkToFit="1"/>
      <protection locked="0"/>
    </xf>
    <xf numFmtId="165" fontId="8" fillId="0" borderId="17" xfId="4" applyFont="1" applyFill="1" applyBorder="1" applyAlignment="1" applyProtection="1">
      <alignment horizontal="center" vertical="center" shrinkToFit="1"/>
      <protection locked="0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5" fontId="8" fillId="0" borderId="50" xfId="4" applyFont="1" applyFill="1" applyBorder="1" applyAlignment="1" applyProtection="1">
      <alignment horizontal="center" vertical="center" shrinkToFit="1"/>
      <protection locked="0"/>
    </xf>
    <xf numFmtId="165" fontId="8" fillId="0" borderId="47" xfId="4" applyFont="1" applyFill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5" fontId="8" fillId="0" borderId="53" xfId="4" applyFont="1" applyFill="1" applyBorder="1" applyAlignment="1" applyProtection="1">
      <alignment horizontal="center" vertical="center" shrinkToFit="1"/>
      <protection locked="0"/>
    </xf>
    <xf numFmtId="165" fontId="8" fillId="0" borderId="22" xfId="4" applyFont="1" applyFill="1" applyBorder="1" applyAlignment="1" applyProtection="1">
      <alignment horizontal="center" vertical="center" shrinkToFit="1"/>
      <protection locked="0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14" fillId="0" borderId="82" xfId="1" applyFont="1" applyBorder="1" applyAlignment="1" applyProtection="1">
      <alignment horizontal="right"/>
      <protection locked="0"/>
    </xf>
    <xf numFmtId="0" fontId="14" fillId="0" borderId="83" xfId="1" applyFont="1" applyBorder="1" applyAlignment="1" applyProtection="1">
      <alignment horizontal="right"/>
      <protection locked="0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14" fillId="0" borderId="138" xfId="1" applyFont="1" applyBorder="1" applyAlignment="1" applyProtection="1">
      <alignment horizontal="right"/>
      <protection locked="0"/>
    </xf>
    <xf numFmtId="0" fontId="14" fillId="0" borderId="139" xfId="1" applyFont="1" applyBorder="1" applyAlignment="1" applyProtection="1">
      <alignment horizontal="right"/>
      <protection locked="0"/>
    </xf>
    <xf numFmtId="0" fontId="14" fillId="0" borderId="140" xfId="1" applyFont="1" applyBorder="1" applyAlignment="1" applyProtection="1">
      <alignment horizontal="right"/>
      <protection locked="0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169" fontId="7" fillId="0" borderId="136" xfId="0" applyNumberFormat="1" applyFont="1" applyBorder="1" applyAlignment="1" applyProtection="1">
      <alignment horizontal="center" vertical="center"/>
      <protection locked="0"/>
    </xf>
    <xf numFmtId="169" fontId="7" fillId="0" borderId="137" xfId="0" applyNumberFormat="1" applyFont="1" applyBorder="1" applyAlignment="1" applyProtection="1">
      <alignment horizontal="center" vertical="center"/>
      <protection locked="0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0" xfId="1" applyFont="1" applyFill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0" xfId="1" applyFont="1" applyFill="1" applyAlignment="1">
      <alignment horizontal="center" vertical="center" wrapText="1"/>
    </xf>
    <xf numFmtId="169" fontId="7" fillId="0" borderId="11" xfId="0" applyNumberFormat="1" applyFont="1" applyBorder="1" applyAlignment="1" applyProtection="1">
      <alignment horizontal="center" vertical="center"/>
      <protection locked="0"/>
    </xf>
    <xf numFmtId="169" fontId="7" fillId="0" borderId="46" xfId="0" applyNumberFormat="1" applyFont="1" applyBorder="1" applyAlignment="1" applyProtection="1">
      <alignment horizontal="center" vertical="center"/>
      <protection locked="0"/>
    </xf>
    <xf numFmtId="169" fontId="7" fillId="0" borderId="9" xfId="0" applyNumberFormat="1" applyFont="1" applyBorder="1" applyAlignment="1" applyProtection="1">
      <alignment horizontal="center" vertical="center"/>
      <protection locked="0"/>
    </xf>
    <xf numFmtId="169" fontId="7" fillId="0" borderId="44" xfId="0" applyNumberFormat="1" applyFont="1" applyBorder="1" applyAlignment="1" applyProtection="1">
      <alignment horizontal="center" vertical="center"/>
      <protection locked="0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13" fillId="0" borderId="26" xfId="1" applyFont="1" applyBorder="1" applyAlignment="1" applyProtection="1">
      <alignment horizontal="left" vertical="center" wrapText="1"/>
      <protection locked="0"/>
    </xf>
    <xf numFmtId="0" fontId="13" fillId="0" borderId="0" xfId="1" applyFont="1" applyAlignment="1" applyProtection="1">
      <alignment horizontal="left" vertical="center" wrapText="1"/>
      <protection locked="0"/>
    </xf>
    <xf numFmtId="0" fontId="13" fillId="0" borderId="12" xfId="1" applyFont="1" applyBorder="1" applyAlignment="1" applyProtection="1">
      <alignment horizontal="left" vertical="center" wrapText="1"/>
      <protection locked="0"/>
    </xf>
    <xf numFmtId="0" fontId="23" fillId="37" borderId="117" xfId="1" applyFont="1" applyFill="1" applyBorder="1" applyAlignment="1">
      <alignment horizontal="center" vertical="center" wrapText="1"/>
    </xf>
    <xf numFmtId="0" fontId="23" fillId="37" borderId="118" xfId="1" applyFont="1" applyFill="1" applyBorder="1" applyAlignment="1">
      <alignment horizontal="center" vertical="center" wrapText="1"/>
    </xf>
    <xf numFmtId="0" fontId="23" fillId="37" borderId="119" xfId="1" applyFont="1" applyFill="1" applyBorder="1" applyAlignment="1">
      <alignment horizontal="center" vertical="center" wrapText="1"/>
    </xf>
    <xf numFmtId="0" fontId="23" fillId="37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0" fontId="23" fillId="37" borderId="84" xfId="1" applyFont="1" applyFill="1" applyBorder="1" applyAlignment="1">
      <alignment horizontal="center" vertical="center" wrapText="1"/>
    </xf>
    <xf numFmtId="0" fontId="23" fillId="37" borderId="85" xfId="1" applyFont="1" applyFill="1" applyBorder="1" applyAlignment="1">
      <alignment horizontal="center" vertical="center" wrapText="1"/>
    </xf>
    <xf numFmtId="0" fontId="23" fillId="37" borderId="86" xfId="1" applyFont="1" applyFill="1" applyBorder="1" applyAlignment="1">
      <alignment horizontal="center" vertical="center" wrapText="1"/>
    </xf>
    <xf numFmtId="0" fontId="23" fillId="37" borderId="87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9" fillId="0" borderId="47" xfId="1" applyFont="1" applyBorder="1" applyAlignment="1" applyProtection="1">
      <alignment horizontal="center"/>
      <protection locked="0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168" fontId="7" fillId="0" borderId="126" xfId="0" applyNumberFormat="1" applyFont="1" applyBorder="1" applyAlignment="1" applyProtection="1">
      <alignment horizontal="center" vertical="center"/>
      <protection locked="0"/>
    </xf>
    <xf numFmtId="168" fontId="7" fillId="0" borderId="125" xfId="0" applyNumberFormat="1" applyFont="1" applyBorder="1" applyAlignment="1" applyProtection="1">
      <alignment horizontal="center" vertical="center"/>
      <protection locked="0"/>
    </xf>
    <xf numFmtId="0" fontId="67" fillId="0" borderId="26" xfId="1" applyFont="1" applyBorder="1" applyAlignment="1" applyProtection="1">
      <alignment horizontal="left" vertical="center"/>
      <protection locked="0"/>
    </xf>
    <xf numFmtId="0" fontId="67" fillId="0" borderId="0" xfId="1" applyFont="1" applyAlignment="1" applyProtection="1">
      <alignment horizontal="left" vertical="center"/>
      <protection locked="0"/>
    </xf>
    <xf numFmtId="0" fontId="67" fillId="0" borderId="12" xfId="1" applyFont="1" applyBorder="1" applyAlignment="1" applyProtection="1">
      <alignment horizontal="left" vertical="center"/>
      <protection locked="0"/>
    </xf>
    <xf numFmtId="49" fontId="7" fillId="0" borderId="57" xfId="0" applyNumberFormat="1" applyFont="1" applyBorder="1" applyAlignment="1" applyProtection="1">
      <alignment horizontal="center" vertical="center"/>
      <protection locked="0"/>
    </xf>
    <xf numFmtId="169" fontId="7" fillId="0" borderId="125" xfId="0" applyNumberFormat="1" applyFont="1" applyBorder="1" applyAlignment="1" applyProtection="1">
      <alignment horizontal="center" vertical="center"/>
      <protection locked="0"/>
    </xf>
    <xf numFmtId="169" fontId="7" fillId="0" borderId="126" xfId="0" applyNumberFormat="1" applyFont="1" applyBorder="1" applyAlignment="1" applyProtection="1">
      <alignment horizontal="center" vertical="center"/>
      <protection locked="0"/>
    </xf>
    <xf numFmtId="49" fontId="12" fillId="0" borderId="40" xfId="0" applyNumberFormat="1" applyFont="1" applyBorder="1" applyAlignment="1" applyProtection="1">
      <alignment horizontal="center" vertical="center"/>
      <protection locked="0"/>
    </xf>
    <xf numFmtId="49" fontId="12" fillId="0" borderId="115" xfId="0" applyNumberFormat="1" applyFont="1" applyBorder="1" applyAlignment="1" applyProtection="1">
      <alignment horizontal="center" vertical="center"/>
      <protection locked="0"/>
    </xf>
    <xf numFmtId="49" fontId="12" fillId="0" borderId="65" xfId="0" applyNumberFormat="1" applyFont="1" applyBorder="1" applyAlignment="1" applyProtection="1">
      <alignment horizontal="center" vertical="center"/>
      <protection locked="0"/>
    </xf>
    <xf numFmtId="49" fontId="12" fillId="0" borderId="63" xfId="0" applyNumberFormat="1" applyFont="1" applyBorder="1" applyAlignment="1" applyProtection="1">
      <alignment horizontal="center" vertical="center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490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66FF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</dxfs>
  <tableStyles count="0" defaultTableStyle="TableStyleMedium9" defaultPivotStyle="PivotStyleLight16"/>
  <colors>
    <mruColors>
      <color rgb="FF99FF99"/>
      <color rgb="FFFF99FF"/>
      <color rgb="FFFFFFFF"/>
      <color rgb="FFCC99FF"/>
      <color rgb="FFFF66FF"/>
      <color rgb="FFFF2D73"/>
      <color rgb="FFFFCCFF"/>
      <color rgb="FFE6004D"/>
      <color rgb="FFFFA3C2"/>
      <color rgb="FFFF09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138544</xdr:colOff>
      <xdr:row>16</xdr:row>
      <xdr:rowOff>69273</xdr:rowOff>
    </xdr:from>
    <xdr:to>
      <xdr:col>20</xdr:col>
      <xdr:colOff>34829</xdr:colOff>
      <xdr:row>98</xdr:row>
      <xdr:rowOff>155863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32EC4E74-FA29-FD08-B333-0A9D825A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9" y="3498273"/>
          <a:ext cx="9092239" cy="11447317"/>
        </a:xfrm>
        <a:prstGeom prst="rect">
          <a:avLst/>
        </a:prstGeom>
      </xdr:spPr>
    </xdr:pic>
    <xdr:clientData/>
  </xdr:twoCellAnchor>
  <xdr:twoCellAnchor editAs="oneCell">
    <xdr:from>
      <xdr:col>1</xdr:col>
      <xdr:colOff>138545</xdr:colOff>
      <xdr:row>6</xdr:row>
      <xdr:rowOff>69273</xdr:rowOff>
    </xdr:from>
    <xdr:to>
      <xdr:col>4</xdr:col>
      <xdr:colOff>242454</xdr:colOff>
      <xdr:row>13</xdr:row>
      <xdr:rowOff>98466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EA4E6670-F2F2-86C2-11A5-2311641B6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593273"/>
          <a:ext cx="1091045" cy="13626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9525</xdr:colOff>
      <xdr:row>15</xdr:row>
      <xdr:rowOff>105198</xdr:rowOff>
    </xdr:from>
    <xdr:to>
      <xdr:col>24</xdr:col>
      <xdr:colOff>38099</xdr:colOff>
      <xdr:row>17</xdr:row>
      <xdr:rowOff>41698</xdr:rowOff>
    </xdr:to>
    <xdr:sp macro="[0]!ImprimirPDF" textlink="">
      <xdr:nvSpPr>
        <xdr:cNvPr id="5" name="Rectángulo redondead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725025" y="3277023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13</xdr:row>
      <xdr:rowOff>95673</xdr:rowOff>
    </xdr:from>
    <xdr:to>
      <xdr:col>24</xdr:col>
      <xdr:colOff>47625</xdr:colOff>
      <xdr:row>15</xdr:row>
      <xdr:rowOff>32173</xdr:rowOff>
    </xdr:to>
    <xdr:sp macro="[0]!ImpresioDobleCara" textlink="">
      <xdr:nvSpPr>
        <xdr:cNvPr id="7" name="Rectángulo redondeado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9737725" y="2886498"/>
          <a:ext cx="1530350" cy="3175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19050</xdr:colOff>
      <xdr:row>8</xdr:row>
      <xdr:rowOff>0</xdr:rowOff>
    </xdr:from>
    <xdr:to>
      <xdr:col>24</xdr:col>
      <xdr:colOff>57150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9734550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  <xdr:twoCellAnchor>
    <xdr:from>
      <xdr:col>22</xdr:col>
      <xdr:colOff>19051</xdr:colOff>
      <xdr:row>10</xdr:row>
      <xdr:rowOff>47625</xdr:rowOff>
    </xdr:from>
    <xdr:to>
      <xdr:col>24</xdr:col>
      <xdr:colOff>57151</xdr:colOff>
      <xdr:row>13</xdr:row>
      <xdr:rowOff>0</xdr:rowOff>
    </xdr:to>
    <xdr:sp macro="[0]!ImpresioDobleCa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xmlns="" id="{8FF61686-C76C-4D9D-BD43-BD8599B7DC7C}"/>
            </a:ext>
          </a:extLst>
        </xdr:cNvPr>
        <xdr:cNvSpPr/>
      </xdr:nvSpPr>
      <xdr:spPr>
        <a:xfrm>
          <a:off x="9734551" y="2266950"/>
          <a:ext cx="1543050" cy="523875"/>
        </a:xfrm>
        <a:prstGeom prst="roundRect">
          <a:avLst/>
        </a:prstGeom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050"/>
            <a:t>IMPRIMIR</a:t>
          </a:r>
          <a:r>
            <a:rPr lang="es-AR" sz="1050" baseline="0"/>
            <a:t> GEOMETRAL Y FICHA CARGA</a:t>
          </a:r>
          <a:endParaRPr lang="es-AR" sz="1050"/>
        </a:p>
      </xdr:txBody>
    </xdr:sp>
    <xdr:clientData/>
  </xdr:twoCellAnchor>
  <xdr:oneCellAnchor>
    <xdr:from>
      <xdr:col>13</xdr:col>
      <xdr:colOff>464820</xdr:colOff>
      <xdr:row>99</xdr:row>
      <xdr:rowOff>68580</xdr:rowOff>
    </xdr:from>
    <xdr:ext cx="1318260" cy="108204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xmlns="" id="{55B5A4BC-8F70-4CF1-8CB3-96E0C580A8A9}"/>
            </a:ext>
          </a:extLst>
        </xdr:cNvPr>
        <xdr:cNvSpPr/>
      </xdr:nvSpPr>
      <xdr:spPr>
        <a:xfrm>
          <a:off x="6126480" y="1493520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NENA Y VARON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XEC036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11</xdr:col>
      <xdr:colOff>15240</xdr:colOff>
      <xdr:row>93</xdr:row>
      <xdr:rowOff>0</xdr:rowOff>
    </xdr:from>
    <xdr:ext cx="4815840" cy="1257300"/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xmlns="" id="{B8A3BAD2-1919-480A-AC24-E77EB31A1CBD}"/>
            </a:ext>
          </a:extLst>
        </xdr:cNvPr>
        <xdr:cNvSpPr/>
      </xdr:nvSpPr>
      <xdr:spPr>
        <a:xfrm>
          <a:off x="4701540" y="13723620"/>
          <a:ext cx="4815840" cy="125730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s-ES" sz="2800" b="1" cap="none" spc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COMPLETAR</a:t>
          </a:r>
          <a:r>
            <a:rPr lang="es-ES" sz="2800" b="1" cap="none" spc="0" baseline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SOLO CARTONES Y EMPAQUES ESPECIALES</a:t>
          </a:r>
          <a:endParaRPr lang="es-ES" sz="2800" b="1" cap="none" spc="0">
            <a:ln w="22225">
              <a:solidFill>
                <a:schemeClr val="tx1"/>
              </a:solidFill>
              <a:prstDash val="solid"/>
            </a:ln>
            <a:solidFill>
              <a:schemeClr val="bg1">
                <a:lumMod val="8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r>
            <a:rPr lang="es-ES" sz="1400" b="1" i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 LO CONTRARIO,</a:t>
          </a:r>
          <a:r>
            <a:rPr lang="es-ES" sz="1400" b="1" i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 CARGAN LOS BÁSICOS</a:t>
          </a:r>
          <a:endParaRPr lang="es-ES" sz="1400" b="1" i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15240</xdr:colOff>
      <xdr:row>99</xdr:row>
      <xdr:rowOff>76200</xdr:rowOff>
    </xdr:from>
    <xdr:ext cx="975360" cy="1082040"/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xmlns="" id="{9825B61D-E19A-4E3C-9C24-40C308E82389}"/>
            </a:ext>
          </a:extLst>
        </xdr:cNvPr>
        <xdr:cNvSpPr/>
      </xdr:nvSpPr>
      <xdr:spPr>
        <a:xfrm>
          <a:off x="4701540" y="14942820"/>
          <a:ext cx="9753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MPG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XEC001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18</xdr:col>
      <xdr:colOff>99060</xdr:colOff>
      <xdr:row>99</xdr:row>
      <xdr:rowOff>76200</xdr:rowOff>
    </xdr:from>
    <xdr:ext cx="1318260" cy="1082040"/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xmlns="" id="{9AB5C3D6-05E6-46EA-8FB4-F86266C7B857}"/>
            </a:ext>
          </a:extLst>
        </xdr:cNvPr>
        <xdr:cNvSpPr/>
      </xdr:nvSpPr>
      <xdr:spPr>
        <a:xfrm>
          <a:off x="8199120" y="1494282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PIJAMAS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9FF99"/>
    <pageSetUpPr fitToPage="1"/>
  </sheetPr>
  <dimension ref="A1:AI108"/>
  <sheetViews>
    <sheetView zoomScale="55" zoomScaleNormal="55" workbookViewId="0">
      <selection activeCell="X29" sqref="X29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6.7109375" style="48" customWidth="1"/>
    <col min="8" max="8" width="11.7109375" style="144" customWidth="1"/>
    <col min="9" max="9" width="11.7109375" style="145" customWidth="1"/>
    <col min="10" max="10" width="7.7109375" style="146" customWidth="1"/>
    <col min="11" max="11" width="7.7109375" style="147" customWidth="1"/>
    <col min="12" max="13" width="7.140625" style="48" customWidth="1"/>
    <col min="14" max="15" width="7.7109375" style="48" customWidth="1"/>
    <col min="16" max="17" width="7.140625" style="48" customWidth="1"/>
    <col min="18" max="19" width="7.7109375" style="48" customWidth="1"/>
    <col min="20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13.140625" style="48" customWidth="1"/>
    <col min="32" max="32" width="10.85546875" style="49" hidden="1" customWidth="1"/>
    <col min="33" max="33" width="6.710937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328"/>
      <c r="B1" s="345" t="str">
        <f>'FICHA CARGA'!B1:D1</f>
        <v>I23</v>
      </c>
      <c r="C1" s="346"/>
      <c r="D1" s="347"/>
      <c r="E1" s="348" t="str">
        <f>'FICHA CARGA'!E1:G1</f>
        <v>GRISINO</v>
      </c>
      <c r="F1" s="349"/>
      <c r="G1" s="350"/>
      <c r="H1" s="351" t="str">
        <f>'FICHA CARGA'!H1:I1</f>
        <v>MPG</v>
      </c>
      <c r="I1" s="347"/>
      <c r="J1" s="352" t="s">
        <v>1323</v>
      </c>
      <c r="K1" s="352"/>
      <c r="L1" s="352"/>
      <c r="M1" s="353" t="str">
        <f>'FICHA CARGA'!M1:N1</f>
        <v>CONJUNTO</v>
      </c>
      <c r="N1" s="353"/>
      <c r="O1" s="329" t="str">
        <f>'FICHA CARGA'!O1</f>
        <v>01</v>
      </c>
      <c r="P1" s="352"/>
      <c r="Q1" s="352"/>
      <c r="R1" s="330"/>
      <c r="S1" s="331"/>
      <c r="T1" s="343" t="s">
        <v>22</v>
      </c>
      <c r="U1" s="344"/>
      <c r="AF1" s="49" t="s">
        <v>685</v>
      </c>
      <c r="AG1" s="49" t="s">
        <v>694</v>
      </c>
      <c r="AI1" s="149" t="s">
        <v>684</v>
      </c>
    </row>
    <row r="2" spans="1:35" s="43" customFormat="1" ht="24" customHeight="1" x14ac:dyDescent="0.3">
      <c r="A2" s="376" t="s">
        <v>46</v>
      </c>
      <c r="B2" s="378" t="str">
        <f>'FICHA CARGA'!B2:F2</f>
        <v>G0DM00</v>
      </c>
      <c r="C2" s="379"/>
      <c r="D2" s="379"/>
      <c r="E2" s="379"/>
      <c r="F2" s="380"/>
      <c r="G2" s="381" t="str">
        <f>'FICHA CARGA'!G2:M2</f>
        <v>CONJUNTO MUECA PURO - PLUSH</v>
      </c>
      <c r="H2" s="382"/>
      <c r="I2" s="382"/>
      <c r="J2" s="382"/>
      <c r="K2" s="382"/>
      <c r="L2" s="382"/>
      <c r="M2" s="383"/>
      <c r="N2" s="384" t="s">
        <v>5</v>
      </c>
      <c r="O2" s="385"/>
      <c r="P2" s="386" t="str">
        <f>'FICHA CARGA'!P2:S2</f>
        <v>A - B - C - D - E</v>
      </c>
      <c r="Q2" s="387"/>
      <c r="R2" s="387"/>
      <c r="S2" s="388"/>
      <c r="T2" s="315" t="str">
        <f>'FICHA CARGA'!T2</f>
        <v>#</v>
      </c>
      <c r="U2" s="316"/>
      <c r="W2" s="148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377"/>
      <c r="B3" s="389" t="str">
        <f>'FICHA CARGA'!B3:F3</f>
        <v/>
      </c>
      <c r="C3" s="390"/>
      <c r="D3" s="390"/>
      <c r="E3" s="390"/>
      <c r="F3" s="391"/>
      <c r="G3" s="392" t="str">
        <f>'FICHA CARGA'!G3:M3</f>
        <v/>
      </c>
      <c r="H3" s="393"/>
      <c r="I3" s="393"/>
      <c r="J3" s="393"/>
      <c r="K3" s="393"/>
      <c r="L3" s="393"/>
      <c r="M3" s="394"/>
      <c r="N3" s="395" t="s">
        <v>5</v>
      </c>
      <c r="O3" s="396"/>
      <c r="P3" s="397">
        <f>'FICHA CARGA'!P3:S3</f>
        <v>0</v>
      </c>
      <c r="Q3" s="398"/>
      <c r="R3" s="398"/>
      <c r="S3" s="399"/>
      <c r="T3" s="374" t="str">
        <f>'FICHA CARGA'!T3:U3</f>
        <v>D55</v>
      </c>
      <c r="U3" s="375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363" t="s">
        <v>1269</v>
      </c>
      <c r="B4" s="364"/>
      <c r="C4" s="364"/>
      <c r="D4" s="364"/>
      <c r="E4" s="364"/>
      <c r="F4" s="364"/>
      <c r="G4" s="364"/>
      <c r="H4" s="364"/>
      <c r="I4" s="364"/>
      <c r="J4" s="364"/>
      <c r="K4" s="364"/>
      <c r="L4" s="364"/>
      <c r="M4" s="364"/>
      <c r="N4" s="364"/>
      <c r="O4" s="364"/>
      <c r="P4" s="364"/>
      <c r="Q4" s="364"/>
      <c r="R4" s="364"/>
      <c r="S4" s="364"/>
      <c r="T4" s="364"/>
      <c r="U4" s="365"/>
    </row>
    <row r="5" spans="1:35" ht="17.100000000000001" customHeight="1" thickBot="1" x14ac:dyDescent="0.45">
      <c r="A5" s="366"/>
      <c r="B5" s="367"/>
      <c r="C5" s="367"/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367"/>
      <c r="O5" s="367"/>
      <c r="P5" s="367"/>
      <c r="Q5" s="367"/>
      <c r="R5" s="367"/>
      <c r="S5" s="367"/>
      <c r="T5" s="367"/>
      <c r="U5" s="368"/>
      <c r="W5" s="318"/>
    </row>
    <row r="6" spans="1:35" s="56" customFormat="1" ht="19.149999999999999" customHeight="1" thickBot="1" x14ac:dyDescent="0.35">
      <c r="A6" s="369" t="str">
        <f>'FICHA CARGA'!L4</f>
        <v>BLANCO-BL</v>
      </c>
      <c r="B6" s="370"/>
      <c r="C6" s="370"/>
      <c r="D6" s="370"/>
      <c r="E6" s="370"/>
      <c r="F6" s="371"/>
      <c r="G6" s="369">
        <f>'FICHA CARGA'!N4</f>
        <v>0</v>
      </c>
      <c r="H6" s="370"/>
      <c r="I6" s="371"/>
      <c r="J6" s="369">
        <f>'FICHA CARGA'!P4</f>
        <v>0</v>
      </c>
      <c r="K6" s="370"/>
      <c r="L6" s="370"/>
      <c r="M6" s="371"/>
      <c r="N6" s="369">
        <f>'FICHA CARGA'!R4</f>
        <v>0</v>
      </c>
      <c r="O6" s="370"/>
      <c r="P6" s="370"/>
      <c r="Q6" s="371"/>
      <c r="R6" s="369">
        <f>'FICHA CARGA'!T4</f>
        <v>0</v>
      </c>
      <c r="S6" s="370"/>
      <c r="T6" s="370"/>
      <c r="U6" s="371"/>
      <c r="W6" s="373"/>
      <c r="X6" s="373"/>
      <c r="Z6" s="313"/>
      <c r="AA6" s="48"/>
      <c r="AB6" s="43"/>
      <c r="AC6" s="43"/>
      <c r="AF6" s="58" t="str">
        <f>IFERROR(VLOOKUP(A6,AUX!$F$117:$G$151,2,0),"")</f>
        <v/>
      </c>
      <c r="AI6" s="151"/>
    </row>
    <row r="7" spans="1:35" s="56" customFormat="1" ht="15" customHeight="1" x14ac:dyDescent="0.25">
      <c r="A7" s="334"/>
      <c r="B7" s="335"/>
      <c r="C7" s="335"/>
      <c r="D7" s="335"/>
      <c r="E7" s="335"/>
      <c r="F7" s="336"/>
      <c r="G7" s="400"/>
      <c r="H7" s="401"/>
      <c r="I7" s="402"/>
      <c r="J7" s="354"/>
      <c r="K7" s="355"/>
      <c r="L7" s="355"/>
      <c r="M7" s="356"/>
      <c r="N7" s="354"/>
      <c r="O7" s="355"/>
      <c r="P7" s="355"/>
      <c r="Q7" s="356"/>
      <c r="R7" s="354"/>
      <c r="S7" s="355"/>
      <c r="T7" s="355"/>
      <c r="U7" s="356"/>
      <c r="W7" s="373"/>
      <c r="X7" s="373"/>
      <c r="Z7" s="313"/>
      <c r="AA7" s="48"/>
      <c r="AB7" s="48"/>
      <c r="AC7" s="48"/>
      <c r="AF7" s="58" t="str">
        <f>IFERROR(VLOOKUP(I7,AUX!$F$117:$G$151,2,0),"")</f>
        <v/>
      </c>
      <c r="AI7" s="151"/>
    </row>
    <row r="8" spans="1:35" s="56" customFormat="1" ht="15" customHeight="1" x14ac:dyDescent="0.2">
      <c r="A8" s="337"/>
      <c r="B8" s="338"/>
      <c r="C8" s="338"/>
      <c r="D8" s="338"/>
      <c r="E8" s="338"/>
      <c r="F8" s="339"/>
      <c r="G8" s="403"/>
      <c r="H8" s="404"/>
      <c r="I8" s="405"/>
      <c r="J8" s="357"/>
      <c r="K8" s="358"/>
      <c r="L8" s="358"/>
      <c r="M8" s="359"/>
      <c r="N8" s="357"/>
      <c r="O8" s="358"/>
      <c r="P8" s="358"/>
      <c r="Q8" s="359"/>
      <c r="R8" s="357"/>
      <c r="S8" s="358"/>
      <c r="T8" s="358"/>
      <c r="U8" s="359"/>
      <c r="W8" s="65"/>
      <c r="X8" s="65"/>
      <c r="AF8" s="58" t="str">
        <f>IFERROR(VLOOKUP(I8,AUX!$F$117:$G$151,2,0),"")</f>
        <v/>
      </c>
      <c r="AI8" s="151"/>
    </row>
    <row r="9" spans="1:35" s="56" customFormat="1" ht="15" customHeight="1" x14ac:dyDescent="0.2">
      <c r="A9" s="337"/>
      <c r="B9" s="338"/>
      <c r="C9" s="338"/>
      <c r="D9" s="338"/>
      <c r="E9" s="338"/>
      <c r="F9" s="339"/>
      <c r="G9" s="403"/>
      <c r="H9" s="404"/>
      <c r="I9" s="405"/>
      <c r="J9" s="357"/>
      <c r="K9" s="358"/>
      <c r="L9" s="358"/>
      <c r="M9" s="359"/>
      <c r="N9" s="357"/>
      <c r="O9" s="358"/>
      <c r="P9" s="358"/>
      <c r="Q9" s="359"/>
      <c r="R9" s="357"/>
      <c r="S9" s="358"/>
      <c r="T9" s="358"/>
      <c r="U9" s="359"/>
      <c r="W9" s="372"/>
      <c r="X9" s="372"/>
      <c r="Z9" s="314"/>
      <c r="AA9" s="314"/>
      <c r="AB9" s="314"/>
      <c r="AC9" s="314"/>
      <c r="AD9" s="314"/>
      <c r="AE9" s="314"/>
      <c r="AF9" s="58" t="str">
        <f>IFERROR(VLOOKUP(I9,AUX!$F$117:$G$151,2,0),"")</f>
        <v/>
      </c>
      <c r="AI9" s="151"/>
    </row>
    <row r="10" spans="1:35" s="56" customFormat="1" ht="15" customHeight="1" x14ac:dyDescent="0.2">
      <c r="A10" s="337"/>
      <c r="B10" s="338"/>
      <c r="C10" s="338"/>
      <c r="D10" s="338"/>
      <c r="E10" s="338"/>
      <c r="F10" s="339"/>
      <c r="G10" s="403"/>
      <c r="H10" s="404"/>
      <c r="I10" s="405"/>
      <c r="J10" s="357"/>
      <c r="K10" s="358"/>
      <c r="L10" s="358"/>
      <c r="M10" s="359"/>
      <c r="N10" s="357"/>
      <c r="O10" s="358"/>
      <c r="P10" s="358"/>
      <c r="Q10" s="359"/>
      <c r="R10" s="357"/>
      <c r="S10" s="358"/>
      <c r="T10" s="358"/>
      <c r="U10" s="359"/>
      <c r="W10" s="372"/>
      <c r="X10" s="372"/>
      <c r="Z10" s="314"/>
      <c r="AA10" s="314"/>
      <c r="AB10" s="314"/>
      <c r="AC10" s="314"/>
      <c r="AD10" s="314"/>
      <c r="AE10" s="314"/>
      <c r="AF10" s="58" t="str">
        <f>IFERROR(VLOOKUP(I10,AUX!$F$117:$G$151,2,0),"")</f>
        <v/>
      </c>
      <c r="AI10" s="151"/>
    </row>
    <row r="11" spans="1:35" s="56" customFormat="1" ht="15" customHeight="1" x14ac:dyDescent="0.2">
      <c r="A11" s="337"/>
      <c r="B11" s="338"/>
      <c r="C11" s="338"/>
      <c r="D11" s="338"/>
      <c r="E11" s="338"/>
      <c r="F11" s="339"/>
      <c r="G11" s="403"/>
      <c r="H11" s="404"/>
      <c r="I11" s="405"/>
      <c r="J11" s="357"/>
      <c r="K11" s="358"/>
      <c r="L11" s="358"/>
      <c r="M11" s="359"/>
      <c r="N11" s="357"/>
      <c r="O11" s="358"/>
      <c r="P11" s="358"/>
      <c r="Q11" s="359"/>
      <c r="R11" s="357"/>
      <c r="S11" s="358"/>
      <c r="T11" s="358"/>
      <c r="U11" s="359"/>
      <c r="W11" s="65"/>
      <c r="X11" s="65"/>
      <c r="Z11" s="314"/>
      <c r="AA11" s="314"/>
      <c r="AB11" s="314"/>
      <c r="AC11" s="314"/>
      <c r="AD11" s="314"/>
      <c r="AE11" s="314"/>
      <c r="AF11" s="58" t="str">
        <f>IFERROR(VLOOKUP(I11,AUX!$F$117:$G$151,2,0),"")</f>
        <v/>
      </c>
      <c r="AI11" s="151"/>
    </row>
    <row r="12" spans="1:35" s="56" customFormat="1" ht="15" customHeight="1" x14ac:dyDescent="0.2">
      <c r="A12" s="337"/>
      <c r="B12" s="338"/>
      <c r="C12" s="338"/>
      <c r="D12" s="338"/>
      <c r="E12" s="338"/>
      <c r="F12" s="339"/>
      <c r="G12" s="403"/>
      <c r="H12" s="404"/>
      <c r="I12" s="405"/>
      <c r="J12" s="357"/>
      <c r="K12" s="358"/>
      <c r="L12" s="358"/>
      <c r="M12" s="359"/>
      <c r="N12" s="357"/>
      <c r="O12" s="358"/>
      <c r="P12" s="358"/>
      <c r="Q12" s="359"/>
      <c r="R12" s="357"/>
      <c r="S12" s="358"/>
      <c r="T12" s="358"/>
      <c r="U12" s="359"/>
      <c r="W12" s="69"/>
      <c r="X12" s="69"/>
      <c r="Y12" s="71"/>
      <c r="Z12" s="314"/>
      <c r="AA12" s="314"/>
      <c r="AB12" s="314"/>
      <c r="AC12" s="314"/>
      <c r="AD12" s="314"/>
      <c r="AE12" s="314"/>
      <c r="AF12" s="58" t="str">
        <f>IFERROR(VLOOKUP(G7,AUX!$F$117:$G$151,2,0),"")</f>
        <v/>
      </c>
      <c r="AI12" s="151"/>
    </row>
    <row r="13" spans="1:35" s="56" customFormat="1" ht="15" customHeight="1" x14ac:dyDescent="0.2">
      <c r="A13" s="337"/>
      <c r="B13" s="338"/>
      <c r="C13" s="338"/>
      <c r="D13" s="338"/>
      <c r="E13" s="338"/>
      <c r="F13" s="339"/>
      <c r="G13" s="403"/>
      <c r="H13" s="404"/>
      <c r="I13" s="405"/>
      <c r="J13" s="357"/>
      <c r="K13" s="358"/>
      <c r="L13" s="358"/>
      <c r="M13" s="359"/>
      <c r="N13" s="357"/>
      <c r="O13" s="358"/>
      <c r="P13" s="358"/>
      <c r="Q13" s="359"/>
      <c r="R13" s="357"/>
      <c r="S13" s="358"/>
      <c r="T13" s="358"/>
      <c r="U13" s="359"/>
      <c r="W13" s="69"/>
      <c r="X13" s="69"/>
      <c r="Y13" s="71"/>
      <c r="AF13" s="58" t="str">
        <f>IFERROR(VLOOKUP(I13,AUX!$F$117:$G$151,2,0),"")</f>
        <v/>
      </c>
      <c r="AI13" s="151"/>
    </row>
    <row r="14" spans="1:35" s="56" customFormat="1" ht="15" customHeight="1" thickBot="1" x14ac:dyDescent="0.25">
      <c r="A14" s="340"/>
      <c r="B14" s="341"/>
      <c r="C14" s="341"/>
      <c r="D14" s="341"/>
      <c r="E14" s="341"/>
      <c r="F14" s="342"/>
      <c r="G14" s="406"/>
      <c r="H14" s="407"/>
      <c r="I14" s="408"/>
      <c r="J14" s="360"/>
      <c r="K14" s="361"/>
      <c r="L14" s="361"/>
      <c r="M14" s="362"/>
      <c r="N14" s="360"/>
      <c r="O14" s="361"/>
      <c r="P14" s="361"/>
      <c r="Q14" s="362"/>
      <c r="R14" s="360"/>
      <c r="S14" s="361"/>
      <c r="T14" s="361"/>
      <c r="U14" s="362"/>
      <c r="W14" s="69"/>
      <c r="X14" s="69"/>
      <c r="Y14" s="71"/>
      <c r="AF14" s="58" t="str">
        <f>IFERROR(VLOOKUP(I14,AUX!$F$117:$G$151,2,0),"")</f>
        <v/>
      </c>
      <c r="AI14" s="151"/>
    </row>
    <row r="15" spans="1:35" s="56" customFormat="1" ht="15" customHeight="1" x14ac:dyDescent="0.2">
      <c r="A15" s="334"/>
      <c r="B15" s="335"/>
      <c r="C15" s="335"/>
      <c r="D15" s="335"/>
      <c r="E15" s="335"/>
      <c r="F15" s="335"/>
      <c r="G15" s="335"/>
      <c r="H15" s="335"/>
      <c r="I15" s="335"/>
      <c r="J15" s="335"/>
      <c r="K15" s="335"/>
      <c r="L15" s="335"/>
      <c r="M15" s="335"/>
      <c r="N15" s="335"/>
      <c r="O15" s="335"/>
      <c r="P15" s="335"/>
      <c r="Q15" s="335"/>
      <c r="R15" s="335"/>
      <c r="S15" s="335"/>
      <c r="T15" s="335"/>
      <c r="U15" s="336"/>
      <c r="W15" s="69"/>
      <c r="X15" s="69"/>
      <c r="Y15" s="71"/>
      <c r="AF15" s="58" t="str">
        <f>IFERROR(VLOOKUP(I15,AUX!$F$117:$G$151,2,0),"")</f>
        <v/>
      </c>
      <c r="AI15" s="151"/>
    </row>
    <row r="16" spans="1:35" s="56" customFormat="1" ht="15" customHeight="1" x14ac:dyDescent="0.2">
      <c r="A16" s="337"/>
      <c r="B16" s="338"/>
      <c r="C16" s="338"/>
      <c r="D16" s="338"/>
      <c r="E16" s="338"/>
      <c r="F16" s="338"/>
      <c r="G16" s="338"/>
      <c r="H16" s="338"/>
      <c r="I16" s="338"/>
      <c r="J16" s="338"/>
      <c r="K16" s="338"/>
      <c r="L16" s="338"/>
      <c r="M16" s="338"/>
      <c r="N16" s="338"/>
      <c r="O16" s="338"/>
      <c r="P16" s="338"/>
      <c r="Q16" s="338"/>
      <c r="R16" s="338"/>
      <c r="S16" s="338"/>
      <c r="T16" s="338"/>
      <c r="U16" s="339"/>
      <c r="W16" s="69" t="s">
        <v>1270</v>
      </c>
      <c r="X16" s="69"/>
      <c r="Y16" s="71"/>
      <c r="AF16" s="58" t="str">
        <f>IFERROR(VLOOKUP(I16,AUX!$F$117:$G$151,2,0),"")</f>
        <v/>
      </c>
      <c r="AI16" s="151"/>
    </row>
    <row r="17" spans="1:35" s="56" customFormat="1" ht="15" customHeight="1" x14ac:dyDescent="0.2">
      <c r="A17" s="337"/>
      <c r="B17" s="338"/>
      <c r="C17" s="338"/>
      <c r="D17" s="338"/>
      <c r="E17" s="338"/>
      <c r="F17" s="338"/>
      <c r="G17" s="338"/>
      <c r="H17" s="338"/>
      <c r="I17" s="338"/>
      <c r="J17" s="338"/>
      <c r="K17" s="338"/>
      <c r="L17" s="338"/>
      <c r="M17" s="338"/>
      <c r="N17" s="338"/>
      <c r="O17" s="338"/>
      <c r="P17" s="338"/>
      <c r="Q17" s="338"/>
      <c r="R17" s="338"/>
      <c r="S17" s="338"/>
      <c r="T17" s="338"/>
      <c r="U17" s="339"/>
      <c r="W17" s="69" t="s">
        <v>1271</v>
      </c>
      <c r="X17" s="69"/>
      <c r="Y17" s="71"/>
      <c r="AF17" s="58" t="str">
        <f>IFERROR(VLOOKUP(I17,AUX!$F$117:$G$151,2,0),"")</f>
        <v/>
      </c>
      <c r="AI17" s="151"/>
    </row>
    <row r="18" spans="1:35" ht="15" customHeight="1" x14ac:dyDescent="0.2">
      <c r="A18" s="337"/>
      <c r="B18" s="338"/>
      <c r="C18" s="338"/>
      <c r="D18" s="338"/>
      <c r="E18" s="338"/>
      <c r="F18" s="338"/>
      <c r="G18" s="338"/>
      <c r="H18" s="338"/>
      <c r="I18" s="338"/>
      <c r="J18" s="338"/>
      <c r="K18" s="338"/>
      <c r="L18" s="338"/>
      <c r="M18" s="338"/>
      <c r="N18" s="338"/>
      <c r="O18" s="338"/>
      <c r="P18" s="338"/>
      <c r="Q18" s="338"/>
      <c r="R18" s="338"/>
      <c r="S18" s="338"/>
      <c r="T18" s="338"/>
      <c r="U18" s="339"/>
      <c r="W18" s="312" t="s">
        <v>1272</v>
      </c>
      <c r="X18" s="312"/>
      <c r="Y18" s="71"/>
    </row>
    <row r="19" spans="1:35" ht="15" customHeight="1" x14ac:dyDescent="0.2">
      <c r="A19" s="337"/>
      <c r="B19" s="338"/>
      <c r="C19" s="338"/>
      <c r="D19" s="338"/>
      <c r="E19" s="338"/>
      <c r="F19" s="338"/>
      <c r="G19" s="338"/>
      <c r="H19" s="338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9"/>
      <c r="W19" s="312" t="s">
        <v>1273</v>
      </c>
      <c r="X19" s="312"/>
    </row>
    <row r="20" spans="1:35" s="56" customFormat="1" ht="15" customHeight="1" x14ac:dyDescent="0.2">
      <c r="A20" s="337"/>
      <c r="B20" s="338"/>
      <c r="C20" s="338"/>
      <c r="D20" s="338"/>
      <c r="E20" s="338"/>
      <c r="F20" s="338"/>
      <c r="G20" s="338"/>
      <c r="H20" s="338"/>
      <c r="I20" s="338"/>
      <c r="J20" s="338"/>
      <c r="K20" s="338"/>
      <c r="L20" s="338"/>
      <c r="M20" s="338"/>
      <c r="N20" s="338"/>
      <c r="O20" s="338"/>
      <c r="P20" s="338"/>
      <c r="Q20" s="338"/>
      <c r="R20" s="338"/>
      <c r="S20" s="338"/>
      <c r="T20" s="338"/>
      <c r="U20" s="339"/>
      <c r="W20" s="311" t="s">
        <v>1274</v>
      </c>
      <c r="X20" s="311"/>
      <c r="AF20" s="58"/>
      <c r="AI20" s="151"/>
    </row>
    <row r="21" spans="1:35" s="56" customFormat="1" ht="15" customHeight="1" x14ac:dyDescent="0.2">
      <c r="A21" s="337"/>
      <c r="B21" s="338"/>
      <c r="C21" s="338"/>
      <c r="D21" s="338"/>
      <c r="E21" s="338"/>
      <c r="F21" s="338"/>
      <c r="G21" s="338"/>
      <c r="H21" s="338"/>
      <c r="I21" s="338"/>
      <c r="J21" s="338"/>
      <c r="K21" s="338"/>
      <c r="L21" s="338"/>
      <c r="M21" s="338"/>
      <c r="N21" s="338"/>
      <c r="O21" s="338"/>
      <c r="P21" s="338"/>
      <c r="Q21" s="338"/>
      <c r="R21" s="338"/>
      <c r="S21" s="338"/>
      <c r="T21" s="338"/>
      <c r="U21" s="339"/>
      <c r="W21" s="311" t="s">
        <v>1275</v>
      </c>
      <c r="X21" s="311"/>
      <c r="AF21" s="58"/>
      <c r="AI21" s="151"/>
    </row>
    <row r="22" spans="1:35" s="56" customFormat="1" ht="15" customHeight="1" x14ac:dyDescent="0.2">
      <c r="A22" s="337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9"/>
      <c r="W22" s="308" t="s">
        <v>1276</v>
      </c>
      <c r="X22" s="308"/>
      <c r="AF22" s="58"/>
      <c r="AI22" s="151"/>
    </row>
    <row r="23" spans="1:35" s="56" customFormat="1" ht="15" customHeight="1" x14ac:dyDescent="0.2">
      <c r="A23" s="337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9"/>
      <c r="W23" s="308" t="s">
        <v>1277</v>
      </c>
      <c r="X23" s="308"/>
      <c r="AF23" s="58"/>
      <c r="AI23" s="151"/>
    </row>
    <row r="24" spans="1:35" s="56" customFormat="1" ht="15" customHeight="1" x14ac:dyDescent="0.2">
      <c r="A24" s="337"/>
      <c r="B24" s="338"/>
      <c r="C24" s="338"/>
      <c r="D24" s="338"/>
      <c r="E24" s="338"/>
      <c r="F24" s="338"/>
      <c r="G24" s="338"/>
      <c r="H24" s="338"/>
      <c r="I24" s="338"/>
      <c r="J24" s="338"/>
      <c r="K24" s="338"/>
      <c r="L24" s="338"/>
      <c r="M24" s="338"/>
      <c r="N24" s="338"/>
      <c r="O24" s="338"/>
      <c r="P24" s="338"/>
      <c r="Q24" s="338"/>
      <c r="R24" s="338"/>
      <c r="S24" s="338"/>
      <c r="T24" s="338"/>
      <c r="U24" s="339"/>
      <c r="W24" s="308"/>
      <c r="X24" s="308"/>
      <c r="AF24" s="58"/>
      <c r="AI24" s="151"/>
    </row>
    <row r="25" spans="1:35" s="56" customFormat="1" ht="15" customHeight="1" x14ac:dyDescent="0.2">
      <c r="A25" s="337"/>
      <c r="B25" s="338"/>
      <c r="C25" s="338"/>
      <c r="D25" s="338"/>
      <c r="E25" s="338"/>
      <c r="F25" s="338"/>
      <c r="G25" s="338"/>
      <c r="H25" s="338"/>
      <c r="I25" s="338"/>
      <c r="J25" s="338"/>
      <c r="K25" s="338"/>
      <c r="L25" s="338"/>
      <c r="M25" s="338"/>
      <c r="N25" s="338"/>
      <c r="O25" s="338"/>
      <c r="P25" s="338"/>
      <c r="Q25" s="338"/>
      <c r="R25" s="338"/>
      <c r="S25" s="338"/>
      <c r="T25" s="338"/>
      <c r="U25" s="339"/>
      <c r="W25" s="308"/>
      <c r="X25" s="308"/>
      <c r="AF25" s="58"/>
      <c r="AI25" s="151"/>
    </row>
    <row r="26" spans="1:35" s="56" customFormat="1" ht="15" customHeight="1" x14ac:dyDescent="0.2">
      <c r="A26" s="337"/>
      <c r="B26" s="338"/>
      <c r="C26" s="338"/>
      <c r="D26" s="338"/>
      <c r="E26" s="338"/>
      <c r="F26" s="338"/>
      <c r="G26" s="338"/>
      <c r="H26" s="338"/>
      <c r="I26" s="338"/>
      <c r="J26" s="338"/>
      <c r="K26" s="338"/>
      <c r="L26" s="338"/>
      <c r="M26" s="338"/>
      <c r="N26" s="338"/>
      <c r="O26" s="338"/>
      <c r="P26" s="338"/>
      <c r="Q26" s="338"/>
      <c r="R26" s="338"/>
      <c r="S26" s="338"/>
      <c r="T26" s="338"/>
      <c r="U26" s="339"/>
      <c r="W26" s="308"/>
      <c r="X26" s="308"/>
      <c r="AF26" s="58"/>
      <c r="AI26" s="151"/>
    </row>
    <row r="27" spans="1:35" s="56" customFormat="1" ht="15" customHeight="1" x14ac:dyDescent="0.2">
      <c r="A27" s="337"/>
      <c r="B27" s="338"/>
      <c r="C27" s="338"/>
      <c r="D27" s="338"/>
      <c r="E27" s="338"/>
      <c r="F27" s="338"/>
      <c r="G27" s="338"/>
      <c r="H27" s="338"/>
      <c r="I27" s="338"/>
      <c r="J27" s="338"/>
      <c r="K27" s="338"/>
      <c r="L27" s="338"/>
      <c r="M27" s="338"/>
      <c r="N27" s="338"/>
      <c r="O27" s="338"/>
      <c r="P27" s="338"/>
      <c r="Q27" s="338"/>
      <c r="R27" s="338"/>
      <c r="S27" s="338"/>
      <c r="T27" s="338"/>
      <c r="U27" s="339"/>
      <c r="W27" s="308"/>
      <c r="X27" s="308"/>
      <c r="AF27" s="58"/>
      <c r="AI27" s="151"/>
    </row>
    <row r="28" spans="1:35" s="56" customFormat="1" ht="15" customHeight="1" x14ac:dyDescent="0.2">
      <c r="A28" s="337"/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  <c r="M28" s="338"/>
      <c r="N28" s="338"/>
      <c r="O28" s="338"/>
      <c r="P28" s="338"/>
      <c r="Q28" s="338"/>
      <c r="R28" s="338"/>
      <c r="S28" s="338"/>
      <c r="T28" s="338"/>
      <c r="U28" s="339"/>
      <c r="W28" s="308"/>
      <c r="X28" s="308"/>
      <c r="AF28" s="58"/>
      <c r="AI28" s="151"/>
    </row>
    <row r="29" spans="1:35" s="56" customFormat="1" ht="15" customHeight="1" x14ac:dyDescent="0.2">
      <c r="A29" s="337"/>
      <c r="B29" s="338"/>
      <c r="C29" s="338"/>
      <c r="D29" s="338"/>
      <c r="E29" s="338"/>
      <c r="F29" s="338"/>
      <c r="G29" s="338"/>
      <c r="H29" s="338"/>
      <c r="I29" s="338"/>
      <c r="J29" s="338"/>
      <c r="K29" s="338"/>
      <c r="L29" s="338"/>
      <c r="M29" s="338"/>
      <c r="N29" s="338"/>
      <c r="O29" s="338"/>
      <c r="P29" s="338"/>
      <c r="Q29" s="338"/>
      <c r="R29" s="338"/>
      <c r="S29" s="338"/>
      <c r="T29" s="338"/>
      <c r="U29" s="339"/>
      <c r="W29" s="308"/>
      <c r="X29" s="308"/>
      <c r="AF29" s="58"/>
      <c r="AI29" s="151"/>
    </row>
    <row r="30" spans="1:35" s="56" customFormat="1" ht="15" customHeight="1" x14ac:dyDescent="0.2">
      <c r="A30" s="337"/>
      <c r="B30" s="338"/>
      <c r="C30" s="338"/>
      <c r="D30" s="338"/>
      <c r="E30" s="338"/>
      <c r="F30" s="338"/>
      <c r="G30" s="338"/>
      <c r="H30" s="338"/>
      <c r="I30" s="338"/>
      <c r="J30" s="338"/>
      <c r="K30" s="338"/>
      <c r="L30" s="338"/>
      <c r="M30" s="338"/>
      <c r="N30" s="338"/>
      <c r="O30" s="338"/>
      <c r="P30" s="338"/>
      <c r="Q30" s="338"/>
      <c r="R30" s="338"/>
      <c r="S30" s="338"/>
      <c r="T30" s="338"/>
      <c r="U30" s="339"/>
      <c r="W30" s="308"/>
      <c r="X30" s="308"/>
      <c r="AF30" s="58"/>
      <c r="AI30" s="151"/>
    </row>
    <row r="31" spans="1:35" s="56" customFormat="1" ht="15" customHeight="1" x14ac:dyDescent="0.2">
      <c r="A31" s="337"/>
      <c r="B31" s="338"/>
      <c r="C31" s="338"/>
      <c r="D31" s="338"/>
      <c r="E31" s="338"/>
      <c r="F31" s="338"/>
      <c r="G31" s="338"/>
      <c r="H31" s="338"/>
      <c r="I31" s="338"/>
      <c r="J31" s="338"/>
      <c r="K31" s="338"/>
      <c r="L31" s="338"/>
      <c r="M31" s="338"/>
      <c r="N31" s="338"/>
      <c r="O31" s="338"/>
      <c r="P31" s="338"/>
      <c r="Q31" s="338"/>
      <c r="R31" s="338"/>
      <c r="S31" s="338"/>
      <c r="T31" s="338"/>
      <c r="U31" s="339"/>
      <c r="W31" s="308"/>
      <c r="X31" s="308"/>
      <c r="AF31" s="58"/>
      <c r="AI31" s="151"/>
    </row>
    <row r="32" spans="1:35" s="56" customFormat="1" ht="15" customHeight="1" x14ac:dyDescent="0.25">
      <c r="A32" s="337"/>
      <c r="B32" s="338"/>
      <c r="C32" s="338"/>
      <c r="D32" s="338"/>
      <c r="E32" s="338"/>
      <c r="F32" s="338"/>
      <c r="G32" s="338"/>
      <c r="H32" s="338"/>
      <c r="I32" s="338"/>
      <c r="J32" s="338"/>
      <c r="K32" s="338"/>
      <c r="L32" s="338"/>
      <c r="M32" s="338"/>
      <c r="N32" s="338"/>
      <c r="O32" s="338"/>
      <c r="P32" s="338"/>
      <c r="Q32" s="338"/>
      <c r="R32" s="338"/>
      <c r="S32" s="338"/>
      <c r="T32" s="338"/>
      <c r="U32" s="339"/>
      <c r="W32" s="308"/>
      <c r="X32" s="308"/>
      <c r="Y32" s="83"/>
      <c r="Z32" s="83"/>
      <c r="AA32" s="83"/>
      <c r="AB32" s="84"/>
      <c r="AF32" s="58"/>
      <c r="AI32" s="151"/>
    </row>
    <row r="33" spans="1:35" s="56" customFormat="1" ht="15" customHeight="1" x14ac:dyDescent="0.2">
      <c r="A33" s="337"/>
      <c r="B33" s="338"/>
      <c r="C33" s="338"/>
      <c r="D33" s="338"/>
      <c r="E33" s="338"/>
      <c r="F33" s="338"/>
      <c r="G33" s="338"/>
      <c r="H33" s="338"/>
      <c r="I33" s="338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9"/>
      <c r="W33" s="308"/>
      <c r="X33" s="308"/>
      <c r="Y33" s="86"/>
      <c r="Z33" s="86"/>
      <c r="AA33" s="86"/>
      <c r="AB33" s="87"/>
      <c r="AF33" s="58"/>
      <c r="AI33" s="151"/>
    </row>
    <row r="34" spans="1:35" s="56" customFormat="1" ht="15" customHeight="1" x14ac:dyDescent="0.2">
      <c r="A34" s="337"/>
      <c r="B34" s="338"/>
      <c r="C34" s="338"/>
      <c r="D34" s="338"/>
      <c r="E34" s="338"/>
      <c r="F34" s="338"/>
      <c r="G34" s="338"/>
      <c r="H34" s="338"/>
      <c r="I34" s="338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9"/>
      <c r="W34" s="308"/>
      <c r="X34" s="308"/>
      <c r="Y34" s="86"/>
      <c r="Z34" s="86"/>
      <c r="AA34" s="86"/>
      <c r="AB34" s="87"/>
      <c r="AF34" s="58"/>
      <c r="AI34" s="151"/>
    </row>
    <row r="35" spans="1:35" s="56" customFormat="1" ht="15" customHeight="1" x14ac:dyDescent="0.2">
      <c r="A35" s="337"/>
      <c r="B35" s="338"/>
      <c r="C35" s="338"/>
      <c r="D35" s="338"/>
      <c r="E35" s="338"/>
      <c r="F35" s="338"/>
      <c r="G35" s="338"/>
      <c r="H35" s="338"/>
      <c r="I35" s="338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9"/>
      <c r="W35" s="308"/>
      <c r="X35" s="308"/>
      <c r="AB35" s="87"/>
      <c r="AF35" s="58"/>
      <c r="AI35" s="151"/>
    </row>
    <row r="36" spans="1:35" s="56" customFormat="1" ht="15" customHeight="1" x14ac:dyDescent="0.25">
      <c r="A36" s="337"/>
      <c r="B36" s="338"/>
      <c r="C36" s="338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9"/>
      <c r="W36" s="308"/>
      <c r="X36" s="308"/>
      <c r="Y36" s="83"/>
      <c r="Z36" s="83"/>
      <c r="AA36" s="83"/>
      <c r="AB36" s="84"/>
      <c r="AF36" s="58"/>
      <c r="AI36" s="151"/>
    </row>
    <row r="37" spans="1:35" s="56" customFormat="1" ht="15" customHeight="1" x14ac:dyDescent="0.25">
      <c r="A37" s="337"/>
      <c r="B37" s="338"/>
      <c r="C37" s="338"/>
      <c r="D37" s="338"/>
      <c r="E37" s="338"/>
      <c r="F37" s="338"/>
      <c r="G37" s="338"/>
      <c r="H37" s="338"/>
      <c r="I37" s="338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8"/>
      <c r="U37" s="339"/>
      <c r="W37" s="308"/>
      <c r="X37" s="308"/>
      <c r="Y37" s="93"/>
      <c r="Z37" s="93"/>
      <c r="AA37" s="93"/>
      <c r="AB37" s="84"/>
      <c r="AF37" s="58"/>
      <c r="AI37" s="151"/>
    </row>
    <row r="38" spans="1:35" s="56" customFormat="1" ht="15" customHeight="1" x14ac:dyDescent="0.2">
      <c r="A38" s="337"/>
      <c r="B38" s="338"/>
      <c r="C38" s="338"/>
      <c r="D38" s="338"/>
      <c r="E38" s="338"/>
      <c r="F38" s="338"/>
      <c r="G38" s="338"/>
      <c r="H38" s="338"/>
      <c r="I38" s="338"/>
      <c r="J38" s="338"/>
      <c r="K38" s="338"/>
      <c r="L38" s="338"/>
      <c r="M38" s="338"/>
      <c r="N38" s="338"/>
      <c r="O38" s="338"/>
      <c r="P38" s="338"/>
      <c r="Q38" s="338"/>
      <c r="R38" s="338"/>
      <c r="S38" s="338"/>
      <c r="T38" s="338"/>
      <c r="U38" s="339"/>
      <c r="W38" s="308"/>
      <c r="X38" s="308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337"/>
      <c r="B39" s="338"/>
      <c r="C39" s="338"/>
      <c r="D39" s="338"/>
      <c r="E39" s="338"/>
      <c r="F39" s="338"/>
      <c r="G39" s="338"/>
      <c r="H39" s="338"/>
      <c r="I39" s="338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9"/>
      <c r="W39" s="308"/>
      <c r="X39" s="308"/>
      <c r="AB39" s="87"/>
      <c r="AF39" s="58"/>
      <c r="AI39" s="151"/>
    </row>
    <row r="40" spans="1:35" s="56" customFormat="1" ht="15" customHeight="1" x14ac:dyDescent="0.2">
      <c r="A40" s="337"/>
      <c r="B40" s="338"/>
      <c r="C40" s="338"/>
      <c r="D40" s="338"/>
      <c r="E40" s="338"/>
      <c r="F40" s="338"/>
      <c r="G40" s="338"/>
      <c r="H40" s="338"/>
      <c r="I40" s="338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9"/>
      <c r="W40" s="308"/>
      <c r="X40" s="308"/>
      <c r="AB40" s="87"/>
      <c r="AF40" s="58"/>
      <c r="AI40" s="151"/>
    </row>
    <row r="41" spans="1:35" s="56" customFormat="1" ht="15" customHeight="1" x14ac:dyDescent="0.2">
      <c r="A41" s="337"/>
      <c r="B41" s="338"/>
      <c r="C41" s="338"/>
      <c r="D41" s="338"/>
      <c r="E41" s="338"/>
      <c r="F41" s="338"/>
      <c r="G41" s="338"/>
      <c r="H41" s="338"/>
      <c r="I41" s="338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9"/>
      <c r="W41" s="308"/>
      <c r="X41" s="308"/>
      <c r="AB41" s="87"/>
      <c r="AF41" s="58"/>
      <c r="AI41" s="151"/>
    </row>
    <row r="42" spans="1:35" s="56" customFormat="1" ht="15" customHeight="1" x14ac:dyDescent="0.2">
      <c r="A42" s="337"/>
      <c r="B42" s="338"/>
      <c r="C42" s="338"/>
      <c r="D42" s="338"/>
      <c r="E42" s="338"/>
      <c r="F42" s="338"/>
      <c r="G42" s="338"/>
      <c r="H42" s="338"/>
      <c r="I42" s="338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9"/>
      <c r="W42" s="308"/>
      <c r="X42" s="308"/>
      <c r="AF42" s="58"/>
      <c r="AI42" s="151"/>
    </row>
    <row r="43" spans="1:35" s="56" customFormat="1" ht="15" customHeight="1" x14ac:dyDescent="0.2">
      <c r="A43" s="337"/>
      <c r="B43" s="338"/>
      <c r="C43" s="338"/>
      <c r="D43" s="338"/>
      <c r="E43" s="338"/>
      <c r="F43" s="338"/>
      <c r="G43" s="338"/>
      <c r="H43" s="338"/>
      <c r="I43" s="338"/>
      <c r="J43" s="338"/>
      <c r="K43" s="338"/>
      <c r="L43" s="338"/>
      <c r="M43" s="338"/>
      <c r="N43" s="338"/>
      <c r="O43" s="338"/>
      <c r="P43" s="338"/>
      <c r="Q43" s="338"/>
      <c r="R43" s="338"/>
      <c r="S43" s="338"/>
      <c r="T43" s="338"/>
      <c r="U43" s="339"/>
      <c r="W43" s="308"/>
      <c r="X43" s="308"/>
      <c r="AF43" s="58"/>
      <c r="AI43" s="151"/>
    </row>
    <row r="44" spans="1:35" s="56" customFormat="1" ht="15" hidden="1" customHeight="1" x14ac:dyDescent="0.2">
      <c r="A44" s="337"/>
      <c r="B44" s="338"/>
      <c r="C44" s="338"/>
      <c r="D44" s="338"/>
      <c r="E44" s="338"/>
      <c r="F44" s="338"/>
      <c r="G44" s="338"/>
      <c r="H44" s="338"/>
      <c r="I44" s="338"/>
      <c r="J44" s="338"/>
      <c r="K44" s="338"/>
      <c r="L44" s="338"/>
      <c r="M44" s="338"/>
      <c r="N44" s="338"/>
      <c r="O44" s="338"/>
      <c r="P44" s="338"/>
      <c r="Q44" s="338"/>
      <c r="R44" s="338"/>
      <c r="S44" s="338"/>
      <c r="T44" s="338"/>
      <c r="U44" s="339"/>
      <c r="W44" s="308"/>
      <c r="X44" s="308"/>
      <c r="Y44" s="105"/>
      <c r="Z44" s="105"/>
      <c r="AA44" s="105"/>
      <c r="AF44" s="58"/>
      <c r="AI44" s="151"/>
    </row>
    <row r="45" spans="1:35" s="56" customFormat="1" ht="15" hidden="1" customHeight="1" x14ac:dyDescent="0.2">
      <c r="A45" s="337"/>
      <c r="B45" s="338"/>
      <c r="C45" s="338"/>
      <c r="D45" s="338"/>
      <c r="E45" s="338"/>
      <c r="F45" s="338"/>
      <c r="G45" s="338"/>
      <c r="H45" s="338"/>
      <c r="I45" s="338"/>
      <c r="J45" s="338"/>
      <c r="K45" s="338"/>
      <c r="L45" s="338"/>
      <c r="M45" s="338"/>
      <c r="N45" s="338"/>
      <c r="O45" s="338"/>
      <c r="P45" s="338"/>
      <c r="Q45" s="338"/>
      <c r="R45" s="338"/>
      <c r="S45" s="338"/>
      <c r="T45" s="338"/>
      <c r="U45" s="339"/>
      <c r="W45" s="308"/>
      <c r="X45" s="308"/>
      <c r="Y45" s="105"/>
      <c r="Z45" s="105"/>
      <c r="AA45" s="105"/>
      <c r="AF45" s="58"/>
      <c r="AI45" s="151"/>
    </row>
    <row r="46" spans="1:35" s="56" customFormat="1" ht="15" hidden="1" customHeight="1" x14ac:dyDescent="0.2">
      <c r="A46" s="337"/>
      <c r="B46" s="338"/>
      <c r="C46" s="338"/>
      <c r="D46" s="338"/>
      <c r="E46" s="338"/>
      <c r="F46" s="338"/>
      <c r="G46" s="338"/>
      <c r="H46" s="338"/>
      <c r="I46" s="338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38"/>
      <c r="U46" s="339"/>
      <c r="W46" s="308"/>
      <c r="X46" s="308"/>
      <c r="Y46" s="105"/>
      <c r="Z46" s="105"/>
      <c r="AA46" s="105"/>
      <c r="AF46" s="58"/>
      <c r="AI46" s="151"/>
    </row>
    <row r="47" spans="1:35" s="56" customFormat="1" ht="15" hidden="1" customHeight="1" x14ac:dyDescent="0.2">
      <c r="A47" s="337"/>
      <c r="B47" s="338"/>
      <c r="C47" s="338"/>
      <c r="D47" s="338"/>
      <c r="E47" s="338"/>
      <c r="F47" s="338"/>
      <c r="G47" s="338"/>
      <c r="H47" s="338"/>
      <c r="I47" s="338"/>
      <c r="J47" s="338"/>
      <c r="K47" s="338"/>
      <c r="L47" s="338"/>
      <c r="M47" s="338"/>
      <c r="N47" s="338"/>
      <c r="O47" s="338"/>
      <c r="P47" s="338"/>
      <c r="Q47" s="338"/>
      <c r="R47" s="338"/>
      <c r="S47" s="338"/>
      <c r="T47" s="338"/>
      <c r="U47" s="339"/>
      <c r="W47" s="308"/>
      <c r="X47" s="308"/>
      <c r="Y47" s="105"/>
      <c r="Z47" s="105"/>
      <c r="AA47" s="105"/>
      <c r="AF47" s="58"/>
      <c r="AI47" s="151"/>
    </row>
    <row r="48" spans="1:35" s="56" customFormat="1" ht="15" hidden="1" customHeight="1" x14ac:dyDescent="0.2">
      <c r="A48" s="337"/>
      <c r="B48" s="338"/>
      <c r="C48" s="338"/>
      <c r="D48" s="338"/>
      <c r="E48" s="338"/>
      <c r="F48" s="338"/>
      <c r="G48" s="338"/>
      <c r="H48" s="338"/>
      <c r="I48" s="338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9"/>
      <c r="W48" s="308"/>
      <c r="X48" s="308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337"/>
      <c r="B49" s="338"/>
      <c r="C49" s="338"/>
      <c r="D49" s="338"/>
      <c r="E49" s="338"/>
      <c r="F49" s="338"/>
      <c r="G49" s="338"/>
      <c r="H49" s="338"/>
      <c r="I49" s="338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9"/>
      <c r="W49" s="308"/>
      <c r="X49" s="308"/>
      <c r="AF49" s="58"/>
      <c r="AI49" s="151"/>
    </row>
    <row r="50" spans="1:35" s="56" customFormat="1" ht="15" hidden="1" customHeight="1" x14ac:dyDescent="0.2">
      <c r="A50" s="337"/>
      <c r="B50" s="338"/>
      <c r="C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9"/>
      <c r="W50" s="308"/>
      <c r="X50" s="308"/>
      <c r="AF50" s="58"/>
      <c r="AI50" s="151"/>
    </row>
    <row r="51" spans="1:35" s="56" customFormat="1" ht="15" hidden="1" customHeight="1" thickBot="1" x14ac:dyDescent="0.25">
      <c r="A51" s="337"/>
      <c r="B51" s="338"/>
      <c r="C51" s="338"/>
      <c r="D51" s="338"/>
      <c r="E51" s="338"/>
      <c r="F51" s="338"/>
      <c r="G51" s="338"/>
      <c r="H51" s="338"/>
      <c r="I51" s="338"/>
      <c r="J51" s="338"/>
      <c r="K51" s="338"/>
      <c r="L51" s="338"/>
      <c r="M51" s="338"/>
      <c r="N51" s="338"/>
      <c r="O51" s="338"/>
      <c r="P51" s="338"/>
      <c r="Q51" s="338"/>
      <c r="R51" s="338"/>
      <c r="S51" s="338"/>
      <c r="T51" s="338"/>
      <c r="U51" s="339"/>
      <c r="W51" s="308"/>
      <c r="X51" s="308"/>
      <c r="AF51" s="58"/>
      <c r="AI51" s="151"/>
    </row>
    <row r="52" spans="1:35" s="56" customFormat="1" ht="15" customHeight="1" x14ac:dyDescent="0.2">
      <c r="A52" s="337"/>
      <c r="B52" s="338"/>
      <c r="C52" s="338"/>
      <c r="D52" s="338"/>
      <c r="E52" s="338"/>
      <c r="F52" s="338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9"/>
      <c r="W52" s="310"/>
      <c r="X52" s="310"/>
      <c r="AF52" s="58"/>
      <c r="AI52" s="151"/>
    </row>
    <row r="53" spans="1:35" s="56" customFormat="1" ht="15" customHeight="1" x14ac:dyDescent="0.2">
      <c r="A53" s="337"/>
      <c r="B53" s="338"/>
      <c r="C53" s="338"/>
      <c r="D53" s="338"/>
      <c r="E53" s="338"/>
      <c r="F53" s="338"/>
      <c r="G53" s="338"/>
      <c r="H53" s="338"/>
      <c r="I53" s="338"/>
      <c r="J53" s="338"/>
      <c r="K53" s="338"/>
      <c r="L53" s="338"/>
      <c r="M53" s="338"/>
      <c r="N53" s="338"/>
      <c r="O53" s="338"/>
      <c r="P53" s="338"/>
      <c r="Q53" s="338"/>
      <c r="R53" s="338"/>
      <c r="S53" s="338"/>
      <c r="T53" s="338"/>
      <c r="U53" s="339"/>
      <c r="W53" s="310"/>
      <c r="X53" s="310"/>
      <c r="AF53" s="58"/>
      <c r="AI53" s="151"/>
    </row>
    <row r="54" spans="1:35" s="56" customFormat="1" ht="15" customHeight="1" x14ac:dyDescent="0.2">
      <c r="A54" s="337"/>
      <c r="B54" s="338"/>
      <c r="C54" s="338"/>
      <c r="D54" s="338"/>
      <c r="E54" s="338"/>
      <c r="F54" s="338"/>
      <c r="G54" s="338"/>
      <c r="H54" s="338"/>
      <c r="I54" s="338"/>
      <c r="J54" s="338"/>
      <c r="K54" s="338"/>
      <c r="L54" s="338"/>
      <c r="M54" s="338"/>
      <c r="N54" s="338"/>
      <c r="O54" s="338"/>
      <c r="P54" s="338"/>
      <c r="Q54" s="338"/>
      <c r="R54" s="338"/>
      <c r="S54" s="338"/>
      <c r="T54" s="338"/>
      <c r="U54" s="339"/>
      <c r="W54" s="310"/>
      <c r="X54" s="310"/>
      <c r="AF54" s="58"/>
      <c r="AI54" s="151"/>
    </row>
    <row r="55" spans="1:35" s="56" customFormat="1" ht="15" customHeight="1" x14ac:dyDescent="0.2">
      <c r="A55" s="337"/>
      <c r="B55" s="338"/>
      <c r="C55" s="338"/>
      <c r="D55" s="338"/>
      <c r="E55" s="338"/>
      <c r="F55" s="338"/>
      <c r="G55" s="338"/>
      <c r="H55" s="338"/>
      <c r="I55" s="338"/>
      <c r="J55" s="338"/>
      <c r="K55" s="338"/>
      <c r="L55" s="338"/>
      <c r="M55" s="338"/>
      <c r="N55" s="338"/>
      <c r="O55" s="338"/>
      <c r="P55" s="338"/>
      <c r="Q55" s="338"/>
      <c r="R55" s="338"/>
      <c r="S55" s="338"/>
      <c r="T55" s="338"/>
      <c r="U55" s="339"/>
      <c r="W55" s="310"/>
      <c r="X55" s="310"/>
      <c r="AF55" s="58"/>
      <c r="AI55" s="151"/>
    </row>
    <row r="56" spans="1:35" s="56" customFormat="1" ht="15" customHeight="1" x14ac:dyDescent="0.2">
      <c r="A56" s="337"/>
      <c r="B56" s="338"/>
      <c r="C56" s="338"/>
      <c r="D56" s="338"/>
      <c r="E56" s="338"/>
      <c r="F56" s="338"/>
      <c r="G56" s="338"/>
      <c r="H56" s="338"/>
      <c r="I56" s="338"/>
      <c r="J56" s="338"/>
      <c r="K56" s="338"/>
      <c r="L56" s="338"/>
      <c r="M56" s="338"/>
      <c r="N56" s="338"/>
      <c r="O56" s="338"/>
      <c r="P56" s="338"/>
      <c r="Q56" s="338"/>
      <c r="R56" s="338"/>
      <c r="S56" s="338"/>
      <c r="T56" s="338"/>
      <c r="U56" s="339"/>
      <c r="W56" s="310"/>
      <c r="X56" s="310"/>
      <c r="AF56" s="58"/>
      <c r="AI56" s="151"/>
    </row>
    <row r="57" spans="1:35" s="56" customFormat="1" ht="15" customHeight="1" x14ac:dyDescent="0.2">
      <c r="A57" s="337"/>
      <c r="B57" s="338"/>
      <c r="C57" s="338"/>
      <c r="D57" s="338"/>
      <c r="E57" s="338"/>
      <c r="F57" s="338"/>
      <c r="G57" s="338"/>
      <c r="H57" s="338"/>
      <c r="I57" s="338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T57" s="338"/>
      <c r="U57" s="339"/>
      <c r="W57" s="310"/>
      <c r="X57" s="310"/>
      <c r="AF57" s="58"/>
      <c r="AI57" s="151"/>
    </row>
    <row r="58" spans="1:35" s="56" customFormat="1" ht="15" customHeight="1" x14ac:dyDescent="0.2">
      <c r="A58" s="337"/>
      <c r="B58" s="338"/>
      <c r="C58" s="338"/>
      <c r="D58" s="338"/>
      <c r="E58" s="338"/>
      <c r="F58" s="338"/>
      <c r="G58" s="338"/>
      <c r="H58" s="338"/>
      <c r="I58" s="338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T58" s="338"/>
      <c r="U58" s="339"/>
      <c r="V58" s="116"/>
      <c r="W58" s="310"/>
      <c r="X58" s="310"/>
      <c r="AF58" s="58"/>
      <c r="AI58" s="151"/>
    </row>
    <row r="59" spans="1:35" s="56" customFormat="1" ht="15" customHeight="1" x14ac:dyDescent="0.2">
      <c r="A59" s="337"/>
      <c r="B59" s="338"/>
      <c r="C59" s="338"/>
      <c r="D59" s="338"/>
      <c r="E59" s="338"/>
      <c r="F59" s="338"/>
      <c r="G59" s="338"/>
      <c r="H59" s="338"/>
      <c r="I59" s="338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T59" s="338"/>
      <c r="U59" s="339"/>
      <c r="W59" s="310"/>
      <c r="X59" s="310"/>
      <c r="AF59" s="58"/>
      <c r="AI59" s="151"/>
    </row>
    <row r="60" spans="1:35" s="56" customFormat="1" ht="15" customHeight="1" x14ac:dyDescent="0.2">
      <c r="A60" s="337"/>
      <c r="B60" s="338"/>
      <c r="C60" s="338"/>
      <c r="D60" s="338"/>
      <c r="E60" s="338"/>
      <c r="F60" s="338"/>
      <c r="G60" s="338"/>
      <c r="H60" s="338"/>
      <c r="I60" s="338"/>
      <c r="J60" s="338"/>
      <c r="K60" s="338"/>
      <c r="L60" s="338"/>
      <c r="M60" s="338"/>
      <c r="N60" s="338"/>
      <c r="O60" s="338"/>
      <c r="P60" s="338"/>
      <c r="Q60" s="338"/>
      <c r="R60" s="338"/>
      <c r="S60" s="338"/>
      <c r="T60" s="338"/>
      <c r="U60" s="339"/>
      <c r="W60" s="310"/>
      <c r="X60" s="310"/>
      <c r="AF60" s="58"/>
      <c r="AI60" s="151"/>
    </row>
    <row r="61" spans="1:35" s="56" customFormat="1" ht="15" hidden="1" customHeight="1" thickTop="1" x14ac:dyDescent="0.2">
      <c r="A61" s="337"/>
      <c r="B61" s="338"/>
      <c r="C61" s="338"/>
      <c r="D61" s="338"/>
      <c r="E61" s="338"/>
      <c r="F61" s="338"/>
      <c r="G61" s="338"/>
      <c r="H61" s="338"/>
      <c r="I61" s="338"/>
      <c r="J61" s="338"/>
      <c r="K61" s="338"/>
      <c r="L61" s="338"/>
      <c r="M61" s="338"/>
      <c r="N61" s="338"/>
      <c r="O61" s="338"/>
      <c r="P61" s="338"/>
      <c r="Q61" s="338"/>
      <c r="R61" s="338"/>
      <c r="S61" s="338"/>
      <c r="T61" s="338"/>
      <c r="U61" s="339"/>
      <c r="W61" s="310"/>
      <c r="X61" s="310"/>
      <c r="AF61" s="58"/>
      <c r="AI61" s="151"/>
    </row>
    <row r="62" spans="1:35" s="56" customFormat="1" ht="15" hidden="1" customHeight="1" x14ac:dyDescent="0.2">
      <c r="A62" s="337"/>
      <c r="B62" s="338"/>
      <c r="C62" s="338"/>
      <c r="D62" s="338"/>
      <c r="E62" s="338"/>
      <c r="F62" s="338"/>
      <c r="G62" s="338"/>
      <c r="H62" s="338"/>
      <c r="I62" s="338"/>
      <c r="J62" s="338"/>
      <c r="K62" s="338"/>
      <c r="L62" s="338"/>
      <c r="M62" s="338"/>
      <c r="N62" s="338"/>
      <c r="O62" s="338"/>
      <c r="P62" s="338"/>
      <c r="Q62" s="338"/>
      <c r="R62" s="338"/>
      <c r="S62" s="338"/>
      <c r="T62" s="338"/>
      <c r="U62" s="339"/>
      <c r="W62" s="310"/>
      <c r="X62" s="310"/>
      <c r="AF62" s="58"/>
      <c r="AI62" s="151"/>
    </row>
    <row r="63" spans="1:35" s="56" customFormat="1" ht="15" hidden="1" customHeight="1" x14ac:dyDescent="0.2">
      <c r="A63" s="337"/>
      <c r="B63" s="338"/>
      <c r="C63" s="338"/>
      <c r="D63" s="338"/>
      <c r="E63" s="338"/>
      <c r="F63" s="338"/>
      <c r="G63" s="338"/>
      <c r="H63" s="338"/>
      <c r="I63" s="338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9"/>
      <c r="W63" s="310"/>
      <c r="X63" s="310"/>
      <c r="AF63" s="58"/>
      <c r="AI63" s="151"/>
    </row>
    <row r="64" spans="1:35" s="56" customFormat="1" ht="15" hidden="1" customHeight="1" x14ac:dyDescent="0.2">
      <c r="A64" s="337"/>
      <c r="B64" s="338"/>
      <c r="C64" s="338"/>
      <c r="D64" s="338"/>
      <c r="E64" s="338"/>
      <c r="F64" s="338"/>
      <c r="G64" s="338"/>
      <c r="H64" s="338"/>
      <c r="I64" s="338"/>
      <c r="J64" s="338"/>
      <c r="K64" s="338"/>
      <c r="L64" s="338"/>
      <c r="M64" s="338"/>
      <c r="N64" s="338"/>
      <c r="O64" s="338"/>
      <c r="P64" s="338"/>
      <c r="Q64" s="338"/>
      <c r="R64" s="338"/>
      <c r="S64" s="338"/>
      <c r="T64" s="338"/>
      <c r="U64" s="339"/>
      <c r="W64" s="310"/>
      <c r="X64" s="310"/>
      <c r="AF64" s="58"/>
      <c r="AI64" s="151"/>
    </row>
    <row r="65" spans="1:35" s="56" customFormat="1" ht="15" hidden="1" customHeight="1" x14ac:dyDescent="0.2">
      <c r="A65" s="337"/>
      <c r="B65" s="338"/>
      <c r="C65" s="338"/>
      <c r="D65" s="338"/>
      <c r="E65" s="338"/>
      <c r="F65" s="338"/>
      <c r="G65" s="338"/>
      <c r="H65" s="338"/>
      <c r="I65" s="338"/>
      <c r="J65" s="338"/>
      <c r="K65" s="338"/>
      <c r="L65" s="338"/>
      <c r="M65" s="338"/>
      <c r="N65" s="338"/>
      <c r="O65" s="338"/>
      <c r="P65" s="338"/>
      <c r="Q65" s="338"/>
      <c r="R65" s="338"/>
      <c r="S65" s="338"/>
      <c r="T65" s="338"/>
      <c r="U65" s="339"/>
      <c r="W65" s="310"/>
      <c r="X65" s="310"/>
      <c r="AF65" s="58"/>
      <c r="AI65" s="151"/>
    </row>
    <row r="66" spans="1:35" s="56" customFormat="1" ht="15" hidden="1" customHeight="1" x14ac:dyDescent="0.2">
      <c r="A66" s="337"/>
      <c r="B66" s="338"/>
      <c r="C66" s="338"/>
      <c r="D66" s="338"/>
      <c r="E66" s="338"/>
      <c r="F66" s="338"/>
      <c r="G66" s="338"/>
      <c r="H66" s="338"/>
      <c r="I66" s="338"/>
      <c r="J66" s="338"/>
      <c r="K66" s="338"/>
      <c r="L66" s="338"/>
      <c r="M66" s="338"/>
      <c r="N66" s="338"/>
      <c r="O66" s="338"/>
      <c r="P66" s="338"/>
      <c r="Q66" s="338"/>
      <c r="R66" s="338"/>
      <c r="S66" s="338"/>
      <c r="T66" s="338"/>
      <c r="U66" s="339"/>
      <c r="W66" s="310"/>
      <c r="X66" s="310"/>
      <c r="AF66" s="58"/>
      <c r="AI66" s="151"/>
    </row>
    <row r="67" spans="1:35" s="56" customFormat="1" ht="15" hidden="1" customHeight="1" x14ac:dyDescent="0.2">
      <c r="A67" s="337"/>
      <c r="B67" s="338"/>
      <c r="C67" s="338"/>
      <c r="D67" s="338"/>
      <c r="E67" s="338"/>
      <c r="F67" s="338"/>
      <c r="G67" s="338"/>
      <c r="H67" s="338"/>
      <c r="I67" s="338"/>
      <c r="J67" s="338"/>
      <c r="K67" s="338"/>
      <c r="L67" s="338"/>
      <c r="M67" s="338"/>
      <c r="N67" s="338"/>
      <c r="O67" s="338"/>
      <c r="P67" s="338"/>
      <c r="Q67" s="338"/>
      <c r="R67" s="338"/>
      <c r="S67" s="338"/>
      <c r="T67" s="338"/>
      <c r="U67" s="339"/>
      <c r="W67" s="310"/>
      <c r="X67" s="310"/>
      <c r="AF67" s="58"/>
      <c r="AI67" s="151"/>
    </row>
    <row r="68" spans="1:35" s="56" customFormat="1" ht="15" hidden="1" customHeight="1" x14ac:dyDescent="0.2">
      <c r="A68" s="337"/>
      <c r="B68" s="338"/>
      <c r="C68" s="338"/>
      <c r="D68" s="338"/>
      <c r="E68" s="338"/>
      <c r="F68" s="338"/>
      <c r="G68" s="338"/>
      <c r="H68" s="338"/>
      <c r="I68" s="338"/>
      <c r="J68" s="338"/>
      <c r="K68" s="338"/>
      <c r="L68" s="338"/>
      <c r="M68" s="338"/>
      <c r="N68" s="338"/>
      <c r="O68" s="338"/>
      <c r="P68" s="338"/>
      <c r="Q68" s="338"/>
      <c r="R68" s="338"/>
      <c r="S68" s="338"/>
      <c r="T68" s="338"/>
      <c r="U68" s="339"/>
      <c r="W68" s="310"/>
      <c r="X68" s="310"/>
      <c r="AF68" s="58"/>
      <c r="AI68" s="151"/>
    </row>
    <row r="69" spans="1:35" s="56" customFormat="1" ht="15" hidden="1" customHeight="1" thickBot="1" x14ac:dyDescent="0.25">
      <c r="A69" s="337"/>
      <c r="B69" s="338"/>
      <c r="C69" s="338"/>
      <c r="D69" s="338"/>
      <c r="E69" s="338"/>
      <c r="F69" s="338"/>
      <c r="G69" s="338"/>
      <c r="H69" s="338"/>
      <c r="I69" s="338"/>
      <c r="J69" s="338"/>
      <c r="K69" s="338"/>
      <c r="L69" s="338"/>
      <c r="M69" s="338"/>
      <c r="N69" s="338"/>
      <c r="O69" s="338"/>
      <c r="P69" s="338"/>
      <c r="Q69" s="338"/>
      <c r="R69" s="338"/>
      <c r="S69" s="338"/>
      <c r="T69" s="338"/>
      <c r="U69" s="339"/>
      <c r="W69" s="310"/>
      <c r="X69" s="310"/>
      <c r="AF69" s="58"/>
      <c r="AI69" s="151"/>
    </row>
    <row r="70" spans="1:35" s="56" customFormat="1" ht="15" customHeight="1" x14ac:dyDescent="0.2">
      <c r="A70" s="337"/>
      <c r="B70" s="338"/>
      <c r="C70" s="338"/>
      <c r="D70" s="338"/>
      <c r="E70" s="338"/>
      <c r="F70" s="338"/>
      <c r="G70" s="338"/>
      <c r="H70" s="338"/>
      <c r="I70" s="338"/>
      <c r="J70" s="338"/>
      <c r="K70" s="338"/>
      <c r="L70" s="338"/>
      <c r="M70" s="338"/>
      <c r="N70" s="338"/>
      <c r="O70" s="338"/>
      <c r="P70" s="338"/>
      <c r="Q70" s="338"/>
      <c r="R70" s="338"/>
      <c r="S70" s="338"/>
      <c r="T70" s="338"/>
      <c r="U70" s="339"/>
      <c r="AF70" s="58"/>
      <c r="AI70" s="151"/>
    </row>
    <row r="71" spans="1:35" s="56" customFormat="1" ht="15" customHeight="1" x14ac:dyDescent="0.2">
      <c r="A71" s="337"/>
      <c r="B71" s="338"/>
      <c r="C71" s="338"/>
      <c r="D71" s="338"/>
      <c r="E71" s="338"/>
      <c r="F71" s="338"/>
      <c r="G71" s="338"/>
      <c r="H71" s="338"/>
      <c r="I71" s="338"/>
      <c r="J71" s="338"/>
      <c r="K71" s="338"/>
      <c r="L71" s="338"/>
      <c r="M71" s="338"/>
      <c r="N71" s="338"/>
      <c r="O71" s="338"/>
      <c r="P71" s="338"/>
      <c r="Q71" s="338"/>
      <c r="R71" s="338"/>
      <c r="S71" s="338"/>
      <c r="T71" s="338"/>
      <c r="U71" s="339"/>
      <c r="AF71" s="58"/>
      <c r="AI71" s="151"/>
    </row>
    <row r="72" spans="1:35" s="56" customFormat="1" ht="17.25" customHeight="1" x14ac:dyDescent="0.2">
      <c r="A72" s="337"/>
      <c r="B72" s="338"/>
      <c r="C72" s="338"/>
      <c r="D72" s="338"/>
      <c r="E72" s="338"/>
      <c r="F72" s="338"/>
      <c r="G72" s="338"/>
      <c r="H72" s="338"/>
      <c r="I72" s="338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9"/>
      <c r="AF72" s="58"/>
      <c r="AI72" s="151"/>
    </row>
    <row r="73" spans="1:35" s="56" customFormat="1" ht="15.95" customHeight="1" x14ac:dyDescent="0.2">
      <c r="A73" s="337"/>
      <c r="B73" s="338"/>
      <c r="C73" s="338"/>
      <c r="D73" s="338"/>
      <c r="E73" s="338"/>
      <c r="F73" s="338"/>
      <c r="G73" s="338"/>
      <c r="H73" s="338"/>
      <c r="I73" s="338"/>
      <c r="J73" s="338"/>
      <c r="K73" s="338"/>
      <c r="L73" s="338"/>
      <c r="M73" s="338"/>
      <c r="N73" s="338"/>
      <c r="O73" s="338"/>
      <c r="P73" s="338"/>
      <c r="Q73" s="338"/>
      <c r="R73" s="338"/>
      <c r="S73" s="338"/>
      <c r="T73" s="338"/>
      <c r="U73" s="339"/>
      <c r="AF73" s="58"/>
      <c r="AI73" s="151"/>
    </row>
    <row r="74" spans="1:35" s="56" customFormat="1" ht="15.95" customHeight="1" x14ac:dyDescent="0.2">
      <c r="A74" s="337"/>
      <c r="B74" s="338"/>
      <c r="C74" s="338"/>
      <c r="D74" s="338"/>
      <c r="E74" s="338"/>
      <c r="F74" s="338"/>
      <c r="G74" s="338"/>
      <c r="H74" s="338"/>
      <c r="I74" s="338"/>
      <c r="J74" s="338"/>
      <c r="K74" s="338"/>
      <c r="L74" s="338"/>
      <c r="M74" s="338"/>
      <c r="N74" s="338"/>
      <c r="O74" s="338"/>
      <c r="P74" s="338"/>
      <c r="Q74" s="338"/>
      <c r="R74" s="338"/>
      <c r="S74" s="338"/>
      <c r="T74" s="338"/>
      <c r="U74" s="339"/>
      <c r="AF74" s="58"/>
      <c r="AI74" s="151"/>
    </row>
    <row r="75" spans="1:35" s="56" customFormat="1" ht="15.95" customHeight="1" x14ac:dyDescent="0.2">
      <c r="A75" s="337"/>
      <c r="B75" s="338"/>
      <c r="C75" s="338"/>
      <c r="D75" s="338"/>
      <c r="E75" s="338"/>
      <c r="F75" s="338"/>
      <c r="G75" s="338"/>
      <c r="H75" s="338"/>
      <c r="I75" s="338"/>
      <c r="J75" s="338"/>
      <c r="K75" s="338"/>
      <c r="L75" s="338"/>
      <c r="M75" s="338"/>
      <c r="N75" s="338"/>
      <c r="O75" s="338"/>
      <c r="P75" s="338"/>
      <c r="Q75" s="338"/>
      <c r="R75" s="338"/>
      <c r="S75" s="338"/>
      <c r="T75" s="338"/>
      <c r="U75" s="339"/>
      <c r="W75" s="309"/>
      <c r="X75" s="309"/>
      <c r="AF75" s="58"/>
      <c r="AI75" s="151"/>
    </row>
    <row r="76" spans="1:35" s="56" customFormat="1" ht="15.95" customHeight="1" x14ac:dyDescent="0.2">
      <c r="A76" s="337"/>
      <c r="B76" s="338"/>
      <c r="C76" s="338"/>
      <c r="D76" s="338"/>
      <c r="E76" s="338"/>
      <c r="F76" s="338"/>
      <c r="G76" s="338"/>
      <c r="H76" s="338"/>
      <c r="I76" s="338"/>
      <c r="J76" s="338"/>
      <c r="K76" s="338"/>
      <c r="L76" s="338"/>
      <c r="M76" s="338"/>
      <c r="N76" s="338"/>
      <c r="O76" s="338"/>
      <c r="P76" s="338"/>
      <c r="Q76" s="338"/>
      <c r="R76" s="338"/>
      <c r="S76" s="338"/>
      <c r="T76" s="338"/>
      <c r="U76" s="339"/>
      <c r="W76" s="309"/>
      <c r="X76" s="309"/>
      <c r="AF76" s="58"/>
      <c r="AI76" s="151"/>
    </row>
    <row r="77" spans="1:35" s="56" customFormat="1" ht="15.95" customHeight="1" x14ac:dyDescent="0.2">
      <c r="A77" s="337"/>
      <c r="B77" s="338"/>
      <c r="C77" s="338"/>
      <c r="D77" s="338"/>
      <c r="E77" s="338"/>
      <c r="F77" s="338"/>
      <c r="G77" s="338"/>
      <c r="H77" s="338"/>
      <c r="I77" s="338"/>
      <c r="J77" s="338"/>
      <c r="K77" s="338"/>
      <c r="L77" s="338"/>
      <c r="M77" s="338"/>
      <c r="N77" s="338"/>
      <c r="O77" s="338"/>
      <c r="P77" s="338"/>
      <c r="Q77" s="338"/>
      <c r="R77" s="338"/>
      <c r="S77" s="338"/>
      <c r="T77" s="338"/>
      <c r="U77" s="339"/>
      <c r="W77" s="308"/>
      <c r="X77" s="308"/>
      <c r="AF77" s="58"/>
      <c r="AI77" s="151"/>
    </row>
    <row r="78" spans="1:35" s="56" customFormat="1" ht="15" customHeight="1" x14ac:dyDescent="0.2">
      <c r="A78" s="337"/>
      <c r="B78" s="338"/>
      <c r="C78" s="338"/>
      <c r="D78" s="338"/>
      <c r="E78" s="338"/>
      <c r="F78" s="338"/>
      <c r="G78" s="338"/>
      <c r="H78" s="338"/>
      <c r="I78" s="338"/>
      <c r="J78" s="338"/>
      <c r="K78" s="338"/>
      <c r="L78" s="338"/>
      <c r="M78" s="338"/>
      <c r="N78" s="338"/>
      <c r="O78" s="338"/>
      <c r="P78" s="338"/>
      <c r="Q78" s="338"/>
      <c r="R78" s="338"/>
      <c r="S78" s="338"/>
      <c r="T78" s="338"/>
      <c r="U78" s="339"/>
      <c r="W78" s="308"/>
      <c r="X78" s="308"/>
      <c r="AF78" s="58"/>
      <c r="AI78" s="151"/>
    </row>
    <row r="79" spans="1:35" s="56" customFormat="1" ht="15" customHeight="1" x14ac:dyDescent="0.2">
      <c r="A79" s="337"/>
      <c r="B79" s="338"/>
      <c r="C79" s="338"/>
      <c r="D79" s="338"/>
      <c r="E79" s="338"/>
      <c r="F79" s="338"/>
      <c r="G79" s="338"/>
      <c r="H79" s="338"/>
      <c r="I79" s="338"/>
      <c r="J79" s="338"/>
      <c r="K79" s="338"/>
      <c r="L79" s="338"/>
      <c r="M79" s="338"/>
      <c r="N79" s="338"/>
      <c r="O79" s="338"/>
      <c r="P79" s="338"/>
      <c r="Q79" s="338"/>
      <c r="R79" s="338"/>
      <c r="S79" s="338"/>
      <c r="T79" s="338"/>
      <c r="U79" s="339"/>
      <c r="W79" s="308"/>
      <c r="X79" s="308"/>
      <c r="AF79" s="58"/>
      <c r="AI79" s="151"/>
    </row>
    <row r="80" spans="1:35" s="56" customFormat="1" ht="15" hidden="1" customHeight="1" thickBot="1" x14ac:dyDescent="0.25">
      <c r="A80" s="337"/>
      <c r="B80" s="338"/>
      <c r="C80" s="338"/>
      <c r="D80" s="338"/>
      <c r="E80" s="338"/>
      <c r="F80" s="338"/>
      <c r="G80" s="338"/>
      <c r="H80" s="338"/>
      <c r="I80" s="338"/>
      <c r="J80" s="338"/>
      <c r="K80" s="338"/>
      <c r="L80" s="338"/>
      <c r="M80" s="338"/>
      <c r="N80" s="338"/>
      <c r="O80" s="338"/>
      <c r="P80" s="338"/>
      <c r="Q80" s="338"/>
      <c r="R80" s="338"/>
      <c r="S80" s="338"/>
      <c r="T80" s="338"/>
      <c r="U80" s="339"/>
      <c r="W80" s="308"/>
      <c r="X80" s="308"/>
      <c r="AF80" s="58"/>
      <c r="AI80" s="151"/>
    </row>
    <row r="81" spans="1:35" s="56" customFormat="1" ht="15" hidden="1" customHeight="1" x14ac:dyDescent="0.2">
      <c r="A81" s="337"/>
      <c r="B81" s="338"/>
      <c r="C81" s="338"/>
      <c r="D81" s="338"/>
      <c r="E81" s="338"/>
      <c r="F81" s="338"/>
      <c r="G81" s="338"/>
      <c r="H81" s="338"/>
      <c r="I81" s="338"/>
      <c r="J81" s="338"/>
      <c r="K81" s="338"/>
      <c r="L81" s="338"/>
      <c r="M81" s="338"/>
      <c r="N81" s="338"/>
      <c r="O81" s="338"/>
      <c r="P81" s="338"/>
      <c r="Q81" s="338"/>
      <c r="R81" s="338"/>
      <c r="S81" s="338"/>
      <c r="T81" s="338"/>
      <c r="U81" s="339"/>
      <c r="W81" s="308"/>
      <c r="X81" s="308"/>
      <c r="AF81" s="58"/>
      <c r="AI81" s="151"/>
    </row>
    <row r="82" spans="1:35" s="56" customFormat="1" ht="15" hidden="1" customHeight="1" thickBot="1" x14ac:dyDescent="0.25">
      <c r="A82" s="337"/>
      <c r="B82" s="338"/>
      <c r="C82" s="338"/>
      <c r="D82" s="338"/>
      <c r="E82" s="338"/>
      <c r="F82" s="338"/>
      <c r="G82" s="338"/>
      <c r="H82" s="338"/>
      <c r="I82" s="338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9"/>
      <c r="W82" s="308"/>
      <c r="X82" s="308"/>
      <c r="AF82" s="58"/>
      <c r="AI82" s="151"/>
    </row>
    <row r="83" spans="1:35" s="56" customFormat="1" ht="15" hidden="1" customHeight="1" thickBot="1" x14ac:dyDescent="0.25">
      <c r="A83" s="337"/>
      <c r="B83" s="338"/>
      <c r="C83" s="338"/>
      <c r="D83" s="338"/>
      <c r="E83" s="338"/>
      <c r="F83" s="338"/>
      <c r="G83" s="338"/>
      <c r="H83" s="338"/>
      <c r="I83" s="338"/>
      <c r="J83" s="338"/>
      <c r="K83" s="338"/>
      <c r="L83" s="338"/>
      <c r="M83" s="338"/>
      <c r="N83" s="338"/>
      <c r="O83" s="338"/>
      <c r="P83" s="338"/>
      <c r="Q83" s="338"/>
      <c r="R83" s="338"/>
      <c r="S83" s="338"/>
      <c r="T83" s="338"/>
      <c r="U83" s="339"/>
      <c r="W83" s="308"/>
      <c r="X83" s="308"/>
      <c r="AF83" s="58"/>
      <c r="AI83" s="151"/>
    </row>
    <row r="84" spans="1:35" s="56" customFormat="1" ht="15" hidden="1" customHeight="1" x14ac:dyDescent="0.2">
      <c r="A84" s="337"/>
      <c r="B84" s="338"/>
      <c r="C84" s="338"/>
      <c r="D84" s="338"/>
      <c r="E84" s="338"/>
      <c r="F84" s="338"/>
      <c r="G84" s="338"/>
      <c r="H84" s="338"/>
      <c r="I84" s="338"/>
      <c r="J84" s="338"/>
      <c r="K84" s="338"/>
      <c r="L84" s="338"/>
      <c r="M84" s="338"/>
      <c r="N84" s="338"/>
      <c r="O84" s="338"/>
      <c r="P84" s="338"/>
      <c r="Q84" s="338"/>
      <c r="R84" s="338"/>
      <c r="S84" s="338"/>
      <c r="T84" s="338"/>
      <c r="U84" s="339"/>
      <c r="W84" s="308"/>
      <c r="X84" s="308"/>
      <c r="AF84" s="58"/>
      <c r="AI84" s="151"/>
    </row>
    <row r="85" spans="1:35" s="56" customFormat="1" ht="15" hidden="1" customHeight="1" thickBot="1" x14ac:dyDescent="0.25">
      <c r="A85" s="337"/>
      <c r="B85" s="338"/>
      <c r="C85" s="338"/>
      <c r="D85" s="338"/>
      <c r="E85" s="338"/>
      <c r="F85" s="338"/>
      <c r="G85" s="338"/>
      <c r="H85" s="338"/>
      <c r="I85" s="338"/>
      <c r="J85" s="338"/>
      <c r="K85" s="338"/>
      <c r="L85" s="338"/>
      <c r="M85" s="338"/>
      <c r="N85" s="338"/>
      <c r="O85" s="338"/>
      <c r="P85" s="338"/>
      <c r="Q85" s="338"/>
      <c r="R85" s="338"/>
      <c r="S85" s="338"/>
      <c r="T85" s="338"/>
      <c r="U85" s="339"/>
      <c r="W85" s="308"/>
      <c r="X85" s="308"/>
      <c r="AF85" s="58"/>
      <c r="AI85" s="151"/>
    </row>
    <row r="86" spans="1:35" s="56" customFormat="1" ht="15" customHeight="1" x14ac:dyDescent="0.2">
      <c r="A86" s="337"/>
      <c r="B86" s="338"/>
      <c r="C86" s="338"/>
      <c r="D86" s="338"/>
      <c r="E86" s="338"/>
      <c r="F86" s="338"/>
      <c r="G86" s="338"/>
      <c r="H86" s="338"/>
      <c r="I86" s="338"/>
      <c r="J86" s="338"/>
      <c r="K86" s="338"/>
      <c r="L86" s="338"/>
      <c r="M86" s="338"/>
      <c r="N86" s="338"/>
      <c r="O86" s="338"/>
      <c r="P86" s="338"/>
      <c r="Q86" s="338"/>
      <c r="R86" s="338"/>
      <c r="S86" s="338"/>
      <c r="T86" s="338"/>
      <c r="U86" s="339"/>
      <c r="W86" s="308"/>
      <c r="X86" s="308"/>
      <c r="AF86" s="58"/>
      <c r="AI86" s="151"/>
    </row>
    <row r="87" spans="1:35" s="56" customFormat="1" ht="15" customHeight="1" x14ac:dyDescent="0.2">
      <c r="A87" s="337"/>
      <c r="B87" s="338"/>
      <c r="C87" s="338"/>
      <c r="D87" s="338"/>
      <c r="E87" s="338"/>
      <c r="F87" s="338"/>
      <c r="G87" s="338"/>
      <c r="H87" s="338"/>
      <c r="I87" s="338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9"/>
      <c r="W87" s="308"/>
      <c r="X87" s="308"/>
      <c r="AF87" s="58"/>
      <c r="AI87" s="151"/>
    </row>
    <row r="88" spans="1:35" s="56" customFormat="1" ht="15" customHeight="1" x14ac:dyDescent="0.2">
      <c r="A88" s="337"/>
      <c r="B88" s="338"/>
      <c r="C88" s="338"/>
      <c r="D88" s="338"/>
      <c r="E88" s="338"/>
      <c r="F88" s="338"/>
      <c r="G88" s="338"/>
      <c r="H88" s="338"/>
      <c r="I88" s="338"/>
      <c r="J88" s="338"/>
      <c r="K88" s="338"/>
      <c r="L88" s="338"/>
      <c r="M88" s="338"/>
      <c r="N88" s="338"/>
      <c r="O88" s="338"/>
      <c r="P88" s="338"/>
      <c r="Q88" s="338"/>
      <c r="R88" s="338"/>
      <c r="S88" s="338"/>
      <c r="T88" s="338"/>
      <c r="U88" s="339"/>
      <c r="W88" s="285"/>
      <c r="AF88" s="58"/>
      <c r="AI88" s="151"/>
    </row>
    <row r="89" spans="1:35" s="56" customFormat="1" ht="15" customHeight="1" x14ac:dyDescent="0.2">
      <c r="A89" s="337"/>
      <c r="B89" s="338"/>
      <c r="C89" s="338"/>
      <c r="D89" s="338"/>
      <c r="E89" s="338"/>
      <c r="F89" s="338"/>
      <c r="G89" s="338"/>
      <c r="H89" s="338"/>
      <c r="I89" s="338"/>
      <c r="J89" s="338"/>
      <c r="K89" s="338"/>
      <c r="L89" s="338"/>
      <c r="M89" s="338"/>
      <c r="N89" s="338"/>
      <c r="O89" s="338"/>
      <c r="P89" s="338"/>
      <c r="Q89" s="338"/>
      <c r="R89" s="338"/>
      <c r="S89" s="338"/>
      <c r="T89" s="338"/>
      <c r="U89" s="339"/>
      <c r="W89" s="286"/>
      <c r="AF89" s="58"/>
      <c r="AI89" s="151"/>
    </row>
    <row r="90" spans="1:35" s="56" customFormat="1" ht="15" customHeight="1" x14ac:dyDescent="0.2">
      <c r="A90" s="337"/>
      <c r="B90" s="338"/>
      <c r="C90" s="338"/>
      <c r="D90" s="338"/>
      <c r="E90" s="338"/>
      <c r="F90" s="338"/>
      <c r="G90" s="338"/>
      <c r="H90" s="338"/>
      <c r="I90" s="338"/>
      <c r="J90" s="338"/>
      <c r="K90" s="338"/>
      <c r="L90" s="338"/>
      <c r="M90" s="338"/>
      <c r="N90" s="338"/>
      <c r="O90" s="338"/>
      <c r="P90" s="338"/>
      <c r="Q90" s="338"/>
      <c r="R90" s="338"/>
      <c r="S90" s="338"/>
      <c r="T90" s="338"/>
      <c r="U90" s="339"/>
      <c r="W90" s="287"/>
      <c r="AF90" s="58"/>
      <c r="AI90" s="151"/>
    </row>
    <row r="91" spans="1:35" s="56" customFormat="1" ht="15" customHeight="1" x14ac:dyDescent="0.2">
      <c r="A91" s="337"/>
      <c r="B91" s="338"/>
      <c r="C91" s="338"/>
      <c r="D91" s="338"/>
      <c r="E91" s="338"/>
      <c r="F91" s="338"/>
      <c r="G91" s="338"/>
      <c r="H91" s="338"/>
      <c r="I91" s="338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T91" s="338"/>
      <c r="U91" s="339"/>
      <c r="W91" s="306"/>
      <c r="X91" s="306"/>
      <c r="Y91" s="306"/>
      <c r="Z91" s="306"/>
      <c r="AA91" s="306"/>
      <c r="AB91" s="306"/>
      <c r="AF91" s="58"/>
      <c r="AI91" s="151"/>
    </row>
    <row r="92" spans="1:35" ht="15" customHeight="1" x14ac:dyDescent="0.2">
      <c r="A92" s="337"/>
      <c r="B92" s="338"/>
      <c r="C92" s="338"/>
      <c r="D92" s="338"/>
      <c r="E92" s="338"/>
      <c r="F92" s="338"/>
      <c r="G92" s="338"/>
      <c r="H92" s="338"/>
      <c r="I92" s="338"/>
      <c r="J92" s="338"/>
      <c r="K92" s="338"/>
      <c r="L92" s="338"/>
      <c r="M92" s="338"/>
      <c r="N92" s="338"/>
      <c r="O92" s="338"/>
      <c r="P92" s="338"/>
      <c r="Q92" s="338"/>
      <c r="R92" s="338"/>
      <c r="S92" s="338"/>
      <c r="T92" s="338"/>
      <c r="U92" s="339"/>
      <c r="W92" s="307"/>
      <c r="X92" s="307"/>
      <c r="Y92" s="307"/>
      <c r="Z92" s="307"/>
      <c r="AA92" s="307"/>
      <c r="AB92" s="307"/>
    </row>
    <row r="93" spans="1:35" ht="15" customHeight="1" x14ac:dyDescent="0.2">
      <c r="A93" s="337"/>
      <c r="B93" s="338"/>
      <c r="C93" s="338"/>
      <c r="D93" s="338"/>
      <c r="E93" s="338"/>
      <c r="F93" s="338"/>
      <c r="G93" s="338"/>
      <c r="H93" s="338"/>
      <c r="I93" s="338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9"/>
      <c r="W93" s="305"/>
      <c r="X93" s="305"/>
      <c r="Y93" s="305"/>
      <c r="Z93" s="305"/>
      <c r="AA93" s="305"/>
      <c r="AB93" s="305"/>
    </row>
    <row r="94" spans="1:35" s="43" customFormat="1" ht="15" customHeight="1" x14ac:dyDescent="0.3">
      <c r="A94" s="337"/>
      <c r="B94" s="338"/>
      <c r="C94" s="338"/>
      <c r="D94" s="338"/>
      <c r="E94" s="338"/>
      <c r="F94" s="338"/>
      <c r="G94" s="338"/>
      <c r="H94" s="338"/>
      <c r="I94" s="338"/>
      <c r="J94" s="338"/>
      <c r="K94" s="338"/>
      <c r="L94" s="338"/>
      <c r="M94" s="338"/>
      <c r="N94" s="338"/>
      <c r="O94" s="338"/>
      <c r="P94" s="338"/>
      <c r="Q94" s="338"/>
      <c r="R94" s="338"/>
      <c r="S94" s="338"/>
      <c r="T94" s="338"/>
      <c r="U94" s="339"/>
      <c r="W94" s="327"/>
      <c r="AF94" s="44"/>
      <c r="AI94" s="149"/>
    </row>
    <row r="95" spans="1:35" s="43" customFormat="1" ht="15" customHeight="1" x14ac:dyDescent="0.3">
      <c r="A95" s="337"/>
      <c r="B95" s="338"/>
      <c r="C95" s="338"/>
      <c r="D95" s="338"/>
      <c r="E95" s="338"/>
      <c r="F95" s="338"/>
      <c r="G95" s="338"/>
      <c r="H95" s="338"/>
      <c r="I95" s="338"/>
      <c r="J95" s="338"/>
      <c r="K95" s="338"/>
      <c r="L95" s="338"/>
      <c r="M95" s="338"/>
      <c r="N95" s="338"/>
      <c r="O95" s="338"/>
      <c r="P95" s="338"/>
      <c r="Q95" s="338"/>
      <c r="R95" s="338"/>
      <c r="S95" s="338"/>
      <c r="T95" s="338"/>
      <c r="U95" s="339"/>
      <c r="W95" s="327"/>
      <c r="AF95" s="44"/>
      <c r="AI95" s="149"/>
    </row>
    <row r="96" spans="1:35" s="43" customFormat="1" ht="15" customHeight="1" x14ac:dyDescent="0.3">
      <c r="A96" s="337"/>
      <c r="B96" s="338"/>
      <c r="C96" s="338"/>
      <c r="D96" s="338"/>
      <c r="E96" s="338"/>
      <c r="F96" s="338"/>
      <c r="G96" s="338"/>
      <c r="H96" s="338"/>
      <c r="I96" s="338"/>
      <c r="J96" s="338"/>
      <c r="K96" s="338"/>
      <c r="L96" s="338"/>
      <c r="M96" s="338"/>
      <c r="N96" s="338"/>
      <c r="O96" s="338"/>
      <c r="P96" s="338"/>
      <c r="Q96" s="338"/>
      <c r="R96" s="338"/>
      <c r="S96" s="338"/>
      <c r="T96" s="338"/>
      <c r="U96" s="339"/>
      <c r="W96" s="327"/>
      <c r="AF96" s="44"/>
      <c r="AI96" s="149"/>
    </row>
    <row r="97" spans="1:35" s="43" customFormat="1" ht="15" customHeight="1" x14ac:dyDescent="0.3">
      <c r="A97" s="337"/>
      <c r="B97" s="338"/>
      <c r="C97" s="338"/>
      <c r="D97" s="338"/>
      <c r="E97" s="338"/>
      <c r="F97" s="338"/>
      <c r="G97" s="338"/>
      <c r="H97" s="338"/>
      <c r="I97" s="338"/>
      <c r="J97" s="338"/>
      <c r="K97" s="338"/>
      <c r="L97" s="338"/>
      <c r="M97" s="338"/>
      <c r="N97" s="338"/>
      <c r="O97" s="338"/>
      <c r="P97" s="338"/>
      <c r="Q97" s="338"/>
      <c r="R97" s="338"/>
      <c r="S97" s="338"/>
      <c r="T97" s="338"/>
      <c r="U97" s="339"/>
      <c r="W97" s="327"/>
      <c r="AF97" s="44"/>
      <c r="AI97" s="149"/>
    </row>
    <row r="98" spans="1:35" s="43" customFormat="1" ht="15" customHeight="1" x14ac:dyDescent="0.3">
      <c r="A98" s="337"/>
      <c r="B98" s="338"/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9"/>
      <c r="AF98" s="44"/>
      <c r="AI98" s="149"/>
    </row>
    <row r="99" spans="1:35" ht="15" customHeight="1" x14ac:dyDescent="0.2">
      <c r="A99" s="337"/>
      <c r="B99" s="338"/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9"/>
    </row>
    <row r="100" spans="1:35" ht="15" customHeight="1" x14ac:dyDescent="0.2">
      <c r="A100" s="337"/>
      <c r="B100" s="338"/>
      <c r="C100" s="338"/>
      <c r="D100" s="338"/>
      <c r="E100" s="338"/>
      <c r="F100" s="338"/>
      <c r="G100" s="338"/>
      <c r="H100" s="338"/>
      <c r="I100" s="338"/>
      <c r="J100" s="338"/>
      <c r="K100" s="338"/>
      <c r="L100" s="338"/>
      <c r="M100" s="338"/>
      <c r="N100" s="338"/>
      <c r="O100" s="338"/>
      <c r="P100" s="338"/>
      <c r="Q100" s="338"/>
      <c r="R100" s="338"/>
      <c r="S100" s="338"/>
      <c r="T100" s="338"/>
      <c r="U100" s="339"/>
    </row>
    <row r="101" spans="1:35" ht="15" customHeight="1" thickBot="1" x14ac:dyDescent="0.25">
      <c r="A101" s="340"/>
      <c r="B101" s="341"/>
      <c r="C101" s="341"/>
      <c r="D101" s="341"/>
      <c r="E101" s="341"/>
      <c r="F101" s="341"/>
      <c r="G101" s="341"/>
      <c r="H101" s="341"/>
      <c r="I101" s="341"/>
      <c r="J101" s="341"/>
      <c r="K101" s="341"/>
      <c r="L101" s="341"/>
      <c r="M101" s="341"/>
      <c r="N101" s="341"/>
      <c r="O101" s="341"/>
      <c r="P101" s="341"/>
      <c r="Q101" s="341"/>
      <c r="R101" s="341"/>
      <c r="S101" s="341"/>
      <c r="T101" s="341"/>
      <c r="U101" s="342"/>
    </row>
    <row r="102" spans="1:35" ht="18" customHeight="1" x14ac:dyDescent="0.25">
      <c r="A102" s="419" t="s">
        <v>1326</v>
      </c>
      <c r="B102" s="420"/>
      <c r="C102" s="421"/>
      <c r="D102" s="421"/>
      <c r="E102" s="421"/>
      <c r="F102" s="422"/>
      <c r="G102" s="419" t="s">
        <v>1327</v>
      </c>
      <c r="H102" s="420"/>
      <c r="I102" s="423"/>
      <c r="J102" s="423"/>
      <c r="K102" s="423"/>
      <c r="L102" s="423"/>
      <c r="M102" s="424"/>
      <c r="N102" s="419" t="s">
        <v>1328</v>
      </c>
      <c r="O102" s="420"/>
      <c r="P102" s="423"/>
      <c r="Q102" s="423"/>
      <c r="R102" s="423"/>
      <c r="S102" s="423"/>
      <c r="T102" s="423"/>
      <c r="U102" s="424"/>
    </row>
    <row r="103" spans="1:35" ht="18" customHeight="1" thickBot="1" x14ac:dyDescent="0.3">
      <c r="A103" s="425"/>
      <c r="B103" s="426"/>
      <c r="C103" s="426"/>
      <c r="D103" s="426"/>
      <c r="E103" s="426"/>
      <c r="F103" s="427"/>
      <c r="G103" s="425"/>
      <c r="H103" s="426"/>
      <c r="I103" s="426"/>
      <c r="J103" s="426"/>
      <c r="K103" s="426"/>
      <c r="L103" s="426"/>
      <c r="M103" s="427"/>
      <c r="N103" s="425"/>
      <c r="O103" s="426"/>
      <c r="P103" s="426"/>
      <c r="Q103" s="426"/>
      <c r="R103" s="426"/>
      <c r="S103" s="426"/>
      <c r="T103" s="426"/>
      <c r="U103" s="427"/>
    </row>
    <row r="104" spans="1:35" ht="19.899999999999999" customHeight="1" x14ac:dyDescent="0.2">
      <c r="A104" s="415" t="s">
        <v>1329</v>
      </c>
      <c r="B104" s="416"/>
      <c r="C104" s="416"/>
      <c r="D104" s="416"/>
      <c r="E104" s="416"/>
      <c r="F104" s="416"/>
      <c r="G104" s="416"/>
      <c r="H104" s="416"/>
      <c r="I104" s="417" t="s">
        <v>1338</v>
      </c>
      <c r="J104" s="417"/>
      <c r="K104" s="417"/>
      <c r="L104" s="417"/>
      <c r="M104" s="417"/>
      <c r="N104" s="417"/>
      <c r="O104" s="417"/>
      <c r="P104" s="417"/>
      <c r="Q104" s="417"/>
      <c r="R104" s="417"/>
      <c r="S104" s="417"/>
      <c r="T104" s="417"/>
      <c r="U104" s="418"/>
    </row>
    <row r="105" spans="1:35" ht="19.899999999999999" customHeight="1" x14ac:dyDescent="0.2">
      <c r="A105" s="409"/>
      <c r="B105" s="410"/>
      <c r="C105" s="410"/>
      <c r="D105" s="410"/>
      <c r="E105" s="410"/>
      <c r="F105" s="410"/>
      <c r="G105" s="410"/>
      <c r="H105" s="410"/>
      <c r="I105" s="410"/>
      <c r="J105" s="410"/>
      <c r="K105" s="410"/>
      <c r="L105" s="410"/>
      <c r="M105" s="410"/>
      <c r="N105" s="410"/>
      <c r="O105" s="410"/>
      <c r="P105" s="410"/>
      <c r="Q105" s="410"/>
      <c r="R105" s="410"/>
      <c r="S105" s="410"/>
      <c r="T105" s="410"/>
      <c r="U105" s="411"/>
    </row>
    <row r="106" spans="1:35" ht="19.899999999999999" customHeight="1" x14ac:dyDescent="0.2">
      <c r="A106" s="409"/>
      <c r="B106" s="410"/>
      <c r="C106" s="410"/>
      <c r="D106" s="410"/>
      <c r="E106" s="410"/>
      <c r="F106" s="410"/>
      <c r="G106" s="410"/>
      <c r="H106" s="410"/>
      <c r="I106" s="410"/>
      <c r="J106" s="410"/>
      <c r="K106" s="410"/>
      <c r="L106" s="410"/>
      <c r="M106" s="410"/>
      <c r="N106" s="410"/>
      <c r="O106" s="410"/>
      <c r="P106" s="410"/>
      <c r="Q106" s="410"/>
      <c r="R106" s="410"/>
      <c r="S106" s="410"/>
      <c r="T106" s="410"/>
      <c r="U106" s="411"/>
    </row>
    <row r="107" spans="1:35" ht="19.899999999999999" customHeight="1" x14ac:dyDescent="0.2">
      <c r="A107" s="409"/>
      <c r="B107" s="410"/>
      <c r="C107" s="410"/>
      <c r="D107" s="410"/>
      <c r="E107" s="410"/>
      <c r="F107" s="410"/>
      <c r="G107" s="410"/>
      <c r="H107" s="410"/>
      <c r="I107" s="410"/>
      <c r="J107" s="410"/>
      <c r="K107" s="410"/>
      <c r="L107" s="410"/>
      <c r="M107" s="410"/>
      <c r="N107" s="410"/>
      <c r="O107" s="410"/>
      <c r="P107" s="410"/>
      <c r="Q107" s="410"/>
      <c r="R107" s="410"/>
      <c r="S107" s="410"/>
      <c r="T107" s="410"/>
      <c r="U107" s="411"/>
    </row>
    <row r="108" spans="1:35" ht="19.899999999999999" customHeight="1" thickBot="1" x14ac:dyDescent="0.25">
      <c r="A108" s="412"/>
      <c r="B108" s="413"/>
      <c r="C108" s="413"/>
      <c r="D108" s="413"/>
      <c r="E108" s="413"/>
      <c r="F108" s="413"/>
      <c r="G108" s="413"/>
      <c r="H108" s="413"/>
      <c r="I108" s="413"/>
      <c r="J108" s="413"/>
      <c r="K108" s="413"/>
      <c r="L108" s="413"/>
      <c r="M108" s="413"/>
      <c r="N108" s="413"/>
      <c r="O108" s="413"/>
      <c r="P108" s="413"/>
      <c r="Q108" s="413"/>
      <c r="R108" s="413"/>
      <c r="S108" s="413"/>
      <c r="T108" s="413"/>
      <c r="U108" s="414"/>
    </row>
  </sheetData>
  <sheetProtection algorithmName="SHA-512" hashValue="Zp9bMn9zTBBmfj2suZwVwiLI0gsfM+xQ2FPUQRK69Vy9lpJGAWHmVNnNNWqDNd/RzdHEufyO3H2CFwhFfXgqxA==" saltValue="L5vGLIzCSIBjEVcDYl21Lw==" spinCount="100000" sheet="1" insertHyperlinks="0" selectLockedCells="1"/>
  <dataConsolidate/>
  <mergeCells count="43">
    <mergeCell ref="A105:U108"/>
    <mergeCell ref="A104:H104"/>
    <mergeCell ref="I104:U104"/>
    <mergeCell ref="A102:B102"/>
    <mergeCell ref="C102:F102"/>
    <mergeCell ref="G102:H102"/>
    <mergeCell ref="N102:O102"/>
    <mergeCell ref="P102:U102"/>
    <mergeCell ref="I102:M102"/>
    <mergeCell ref="A103:F103"/>
    <mergeCell ref="G103:M103"/>
    <mergeCell ref="N103:U103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J7:M14"/>
    <mergeCell ref="N7:Q14"/>
    <mergeCell ref="A15:U101"/>
    <mergeCell ref="T1:U1"/>
    <mergeCell ref="B1:D1"/>
    <mergeCell ref="E1:G1"/>
    <mergeCell ref="H1:I1"/>
    <mergeCell ref="J1:L1"/>
    <mergeCell ref="M1:N1"/>
    <mergeCell ref="P1:Q1"/>
    <mergeCell ref="R7:U14"/>
    <mergeCell ref="A4:U5"/>
    <mergeCell ref="R6:U6"/>
    <mergeCell ref="N6:Q6"/>
    <mergeCell ref="J6:M6"/>
    <mergeCell ref="G6:I6"/>
    <mergeCell ref="A6:F6"/>
  </mergeCells>
  <conditionalFormatting sqref="T2:T3">
    <cfRule type="expression" dxfId="489" priority="14">
      <formula>$T$2=""</formula>
    </cfRule>
    <cfRule type="containsText" dxfId="488" priority="17" operator="containsText" text="#">
      <formula>NOT(ISERROR(SEARCH("#",T2)))</formula>
    </cfRule>
  </conditionalFormatting>
  <conditionalFormatting sqref="U2">
    <cfRule type="expression" dxfId="487" priority="15">
      <formula>$T$2=""</formula>
    </cfRule>
    <cfRule type="expression" dxfId="486" priority="16">
      <formula>$T$2="#"</formula>
    </cfRule>
  </conditionalFormatting>
  <conditionalFormatting sqref="A6">
    <cfRule type="expression" dxfId="485" priority="13">
      <formula>$A6=0</formula>
    </cfRule>
  </conditionalFormatting>
  <conditionalFormatting sqref="G6">
    <cfRule type="expression" dxfId="484" priority="12">
      <formula>$G6=0</formula>
    </cfRule>
  </conditionalFormatting>
  <conditionalFormatting sqref="J6">
    <cfRule type="expression" dxfId="483" priority="11">
      <formula>$J6=0</formula>
    </cfRule>
  </conditionalFormatting>
  <conditionalFormatting sqref="N6">
    <cfRule type="expression" dxfId="482" priority="10">
      <formula>$N6=0</formula>
    </cfRule>
  </conditionalFormatting>
  <conditionalFormatting sqref="R6">
    <cfRule type="expression" dxfId="481" priority="9">
      <formula>$R6=0</formula>
    </cfRule>
  </conditionalFormatting>
  <conditionalFormatting sqref="B2">
    <cfRule type="expression" dxfId="480" priority="8">
      <formula>B2=0</formula>
    </cfRule>
  </conditionalFormatting>
  <conditionalFormatting sqref="G2">
    <cfRule type="expression" dxfId="479" priority="7">
      <formula>G2=0</formula>
    </cfRule>
  </conditionalFormatting>
  <conditionalFormatting sqref="P2">
    <cfRule type="expression" dxfId="478" priority="6">
      <formula>P2=0</formula>
    </cfRule>
  </conditionalFormatting>
  <conditionalFormatting sqref="P3">
    <cfRule type="expression" dxfId="477" priority="5">
      <formula>P3=0</formula>
    </cfRule>
  </conditionalFormatting>
  <conditionalFormatting sqref="T3">
    <cfRule type="expression" dxfId="476" priority="4">
      <formula>T3=0</formula>
    </cfRule>
  </conditionalFormatting>
  <conditionalFormatting sqref="G3">
    <cfRule type="expression" dxfId="475" priority="2">
      <formula>G3=0</formula>
    </cfRule>
  </conditionalFormatting>
  <conditionalFormatting sqref="E1">
    <cfRule type="notContainsBlanks" dxfId="474" priority="1">
      <formula>LEN(TRIM(E1))&gt;0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7"/>
  <sheetViews>
    <sheetView tabSelected="1" zoomScaleNormal="100" workbookViewId="0">
      <selection activeCell="L28" sqref="L28:U28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5" style="48" customWidth="1"/>
    <col min="8" max="8" width="9.7109375" style="144" customWidth="1"/>
    <col min="9" max="9" width="9.7109375" style="145" customWidth="1"/>
    <col min="10" max="10" width="7.7109375" style="146" customWidth="1"/>
    <col min="11" max="11" width="7.7109375" style="147" customWidth="1"/>
    <col min="12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92.5703125" style="48" bestFit="1" customWidth="1"/>
    <col min="32" max="32" width="10.85546875" style="49" hidden="1" customWidth="1"/>
    <col min="33" max="33" width="5.4257812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42"/>
      <c r="B1" s="797" t="s">
        <v>1337</v>
      </c>
      <c r="C1" s="798"/>
      <c r="D1" s="796"/>
      <c r="E1" s="799" t="s">
        <v>12</v>
      </c>
      <c r="F1" s="800"/>
      <c r="G1" s="801"/>
      <c r="H1" s="795" t="s">
        <v>1339</v>
      </c>
      <c r="I1" s="796"/>
      <c r="J1" s="802" t="s">
        <v>1323</v>
      </c>
      <c r="K1" s="802"/>
      <c r="L1" s="802"/>
      <c r="M1" s="803" t="s">
        <v>1340</v>
      </c>
      <c r="N1" s="803"/>
      <c r="O1" s="326" t="s">
        <v>1348</v>
      </c>
      <c r="P1" s="804"/>
      <c r="Q1" s="802"/>
      <c r="R1" s="323"/>
      <c r="S1" s="324"/>
      <c r="T1" s="811" t="s">
        <v>22</v>
      </c>
      <c r="U1" s="812"/>
      <c r="W1" s="43" t="s">
        <v>1324</v>
      </c>
      <c r="X1" s="43" t="str">
        <f>CONCATENATE(T3," -",B1,"-",E1," ",H1,"-",M1," ",O1)</f>
        <v>D55 -I23-GRISINO MPG-CONJUNTO 01</v>
      </c>
      <c r="AF1" s="49" t="s">
        <v>685</v>
      </c>
      <c r="AG1" s="49" t="s">
        <v>694</v>
      </c>
      <c r="AH1" s="43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D55 CONJUNTO MUECA PURO - PLUSH</v>
      </c>
      <c r="AI1" s="149" t="s">
        <v>684</v>
      </c>
    </row>
    <row r="2" spans="1:35" s="43" customFormat="1" ht="24" customHeight="1" x14ac:dyDescent="0.3">
      <c r="A2" s="620" t="s">
        <v>46</v>
      </c>
      <c r="B2" s="736" t="s">
        <v>1357</v>
      </c>
      <c r="C2" s="737"/>
      <c r="D2" s="737"/>
      <c r="E2" s="737"/>
      <c r="F2" s="738"/>
      <c r="G2" s="731" t="s">
        <v>1341</v>
      </c>
      <c r="H2" s="732"/>
      <c r="I2" s="732"/>
      <c r="J2" s="732"/>
      <c r="K2" s="732"/>
      <c r="L2" s="732"/>
      <c r="M2" s="733"/>
      <c r="N2" s="807" t="s">
        <v>5</v>
      </c>
      <c r="O2" s="808"/>
      <c r="P2" s="813" t="s">
        <v>1310</v>
      </c>
      <c r="Q2" s="813"/>
      <c r="R2" s="813"/>
      <c r="S2" s="814"/>
      <c r="T2" s="195" t="str">
        <f>IF(ISNUMBER(LEFT(T3,1)*1),"","#")</f>
        <v>#</v>
      </c>
      <c r="U2" s="194"/>
      <c r="W2" s="148"/>
      <c r="AE2" s="319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722"/>
      <c r="B3" s="739" t="str">
        <f>CONCATENATE(AG2,AG3)</f>
        <v/>
      </c>
      <c r="C3" s="740"/>
      <c r="D3" s="740"/>
      <c r="E3" s="740"/>
      <c r="F3" s="741"/>
      <c r="G3" s="726" t="str">
        <f>IF(IFERROR(FIND("PURO",G2,1),0)&gt;1,"",IF(IFERROR(FIND("MPG",G2,1),0)&gt;1,"",SUBSTITUTE(G2,"NN","CC",1)))</f>
        <v/>
      </c>
      <c r="H3" s="727"/>
      <c r="I3" s="727"/>
      <c r="J3" s="727"/>
      <c r="K3" s="727"/>
      <c r="L3" s="727"/>
      <c r="M3" s="728"/>
      <c r="N3" s="809" t="s">
        <v>5</v>
      </c>
      <c r="O3" s="810"/>
      <c r="P3" s="805"/>
      <c r="Q3" s="805"/>
      <c r="R3" s="805"/>
      <c r="S3" s="806"/>
      <c r="T3" s="783" t="s">
        <v>1352</v>
      </c>
      <c r="U3" s="784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710"/>
      <c r="B4" s="474"/>
      <c r="C4" s="474"/>
      <c r="D4" s="474"/>
      <c r="E4" s="474"/>
      <c r="F4" s="474"/>
      <c r="G4" s="475"/>
      <c r="H4" s="46"/>
      <c r="I4" s="47"/>
      <c r="J4" s="729" t="s">
        <v>11</v>
      </c>
      <c r="K4" s="730"/>
      <c r="L4" s="723" t="s">
        <v>751</v>
      </c>
      <c r="M4" s="652"/>
      <c r="N4" s="651"/>
      <c r="O4" s="652"/>
      <c r="P4" s="651"/>
      <c r="Q4" s="652"/>
      <c r="R4" s="651"/>
      <c r="S4" s="652"/>
      <c r="T4" s="651"/>
      <c r="U4" s="815"/>
      <c r="V4" s="333"/>
      <c r="W4" s="333" t="s">
        <v>1360</v>
      </c>
    </row>
    <row r="5" spans="1:35" ht="17.100000000000001" customHeight="1" thickBot="1" x14ac:dyDescent="0.25">
      <c r="A5" s="711"/>
      <c r="B5" s="734" t="s">
        <v>47</v>
      </c>
      <c r="C5" s="734"/>
      <c r="D5" s="734"/>
      <c r="E5" s="734"/>
      <c r="F5" s="734"/>
      <c r="G5" s="735"/>
      <c r="H5" s="50" t="s">
        <v>9</v>
      </c>
      <c r="I5" s="47" t="s">
        <v>10</v>
      </c>
      <c r="J5" s="51" t="str">
        <f>IF(IFERROR(SEARCH("NNA",G2),FALSE),"NNA",IF(IFERROR(SEARCH("NN",G2),FALSE),"NN",""))</f>
        <v/>
      </c>
      <c r="K5" s="226" t="str">
        <f>IF(IFERROR(SEARCH("CCA",G3),FALSE),"CCA",IF(IFERROR(SEARCH("CC",G3),FALSE),"CC",""))</f>
        <v/>
      </c>
      <c r="L5" s="724" t="s">
        <v>1358</v>
      </c>
      <c r="M5" s="725"/>
      <c r="N5" s="653"/>
      <c r="O5" s="654"/>
      <c r="P5" s="653"/>
      <c r="Q5" s="654"/>
      <c r="R5" s="653"/>
      <c r="S5" s="654"/>
      <c r="T5" s="653"/>
      <c r="U5" s="745"/>
      <c r="W5" s="53"/>
    </row>
    <row r="6" spans="1:35" s="56" customFormat="1" ht="15" customHeight="1" x14ac:dyDescent="0.3">
      <c r="A6" s="619" t="s">
        <v>2</v>
      </c>
      <c r="B6" s="816" t="s">
        <v>659</v>
      </c>
      <c r="C6" s="817"/>
      <c r="D6" s="817"/>
      <c r="E6" s="817"/>
      <c r="F6" s="817"/>
      <c r="G6" s="818"/>
      <c r="H6" s="54"/>
      <c r="I6" s="55" t="str">
        <f>IFERROR(VLOOKUP(B6,TELAS!C:D,2,0),"")</f>
        <v>XTH000</v>
      </c>
      <c r="J6" s="332" t="s">
        <v>1359</v>
      </c>
      <c r="K6" s="332" t="s">
        <v>1359</v>
      </c>
      <c r="L6" s="660"/>
      <c r="M6" s="661"/>
      <c r="N6" s="481"/>
      <c r="O6" s="482"/>
      <c r="P6" s="481"/>
      <c r="Q6" s="482"/>
      <c r="R6" s="481"/>
      <c r="S6" s="482"/>
      <c r="T6" s="481"/>
      <c r="U6" s="613"/>
      <c r="W6" s="373"/>
      <c r="X6" s="373"/>
      <c r="Z6" s="57" t="s">
        <v>1308</v>
      </c>
      <c r="AA6" s="614" t="s">
        <v>1336</v>
      </c>
      <c r="AB6" s="615"/>
      <c r="AC6" s="616"/>
      <c r="AF6" s="58" t="str">
        <f>IFERROR(VLOOKUP(I6,TELAS!$D$1:$E$685,2,0),"")</f>
        <v>kg</v>
      </c>
      <c r="AI6" s="151"/>
    </row>
    <row r="7" spans="1:35" s="56" customFormat="1" ht="36" customHeight="1" thickBot="1" x14ac:dyDescent="0.3">
      <c r="A7" s="620"/>
      <c r="B7" s="59" t="str">
        <f>IF(B6="","","TELA 1:")</f>
        <v>TELA 1:</v>
      </c>
      <c r="C7" s="649" t="s">
        <v>1345</v>
      </c>
      <c r="D7" s="649"/>
      <c r="E7" s="649"/>
      <c r="F7" s="649"/>
      <c r="G7" s="650"/>
      <c r="H7" s="60"/>
      <c r="I7" s="61"/>
      <c r="J7" s="227"/>
      <c r="K7" s="228"/>
      <c r="L7" s="668" t="s">
        <v>1342</v>
      </c>
      <c r="M7" s="592"/>
      <c r="N7" s="544"/>
      <c r="O7" s="543"/>
      <c r="P7" s="544"/>
      <c r="Q7" s="543"/>
      <c r="R7" s="544"/>
      <c r="S7" s="543"/>
      <c r="T7" s="544"/>
      <c r="U7" s="604"/>
      <c r="W7" s="373"/>
      <c r="X7" s="373"/>
      <c r="Z7" s="62" t="s">
        <v>20</v>
      </c>
      <c r="AA7" s="583" t="str">
        <f>CONCATENATE(T3,"-",B1,"-",E1," ",H1,"-",M1," ",O1,"-",P1)</f>
        <v>D55-I23-GRISINO MPG-CONJUNTO 01-</v>
      </c>
      <c r="AB7" s="583"/>
      <c r="AC7" s="584"/>
      <c r="AD7" s="56" t="s">
        <v>1335</v>
      </c>
      <c r="AE7" s="305" t="s">
        <v>1332</v>
      </c>
      <c r="AF7" s="58" t="str">
        <f>IFERROR(VLOOKUP(I7,TELAS!$D$1:$E$685,2,0),"")</f>
        <v/>
      </c>
      <c r="AI7" s="151"/>
    </row>
    <row r="8" spans="1:35" s="56" customFormat="1" ht="15" customHeight="1" x14ac:dyDescent="0.2">
      <c r="A8" s="620"/>
      <c r="B8" s="642" t="s">
        <v>659</v>
      </c>
      <c r="C8" s="643"/>
      <c r="D8" s="643"/>
      <c r="E8" s="643"/>
      <c r="F8" s="643"/>
      <c r="G8" s="644"/>
      <c r="H8" s="63"/>
      <c r="I8" s="64" t="str">
        <f>IFERROR(VLOOKUP(B8,TELAS!C:D,2,0),"")</f>
        <v>XTH000</v>
      </c>
      <c r="J8" s="332" t="s">
        <v>1359</v>
      </c>
      <c r="K8" s="332" t="s">
        <v>1359</v>
      </c>
      <c r="L8" s="660"/>
      <c r="M8" s="661"/>
      <c r="N8" s="481"/>
      <c r="O8" s="482"/>
      <c r="P8" s="481"/>
      <c r="Q8" s="482"/>
      <c r="R8" s="481"/>
      <c r="S8" s="482"/>
      <c r="T8" s="481"/>
      <c r="U8" s="613"/>
      <c r="W8" s="65"/>
      <c r="X8" s="65"/>
      <c r="AF8" s="58" t="str">
        <f>IFERROR(VLOOKUP(I8,TELAS!$D$1:$E$685,2,0),"")</f>
        <v>kg</v>
      </c>
      <c r="AI8" s="151"/>
    </row>
    <row r="9" spans="1:35" s="56" customFormat="1" ht="40.5" customHeight="1" thickBot="1" x14ac:dyDescent="0.25">
      <c r="A9" s="620"/>
      <c r="B9" s="59" t="str">
        <f>IF(B8="","","TELA 2:")</f>
        <v>TELA 2:</v>
      </c>
      <c r="C9" s="649" t="s">
        <v>1349</v>
      </c>
      <c r="D9" s="649"/>
      <c r="E9" s="649"/>
      <c r="F9" s="649"/>
      <c r="G9" s="650"/>
      <c r="H9" s="66"/>
      <c r="I9" s="67"/>
      <c r="J9" s="231"/>
      <c r="K9" s="232"/>
      <c r="L9" s="668" t="s">
        <v>751</v>
      </c>
      <c r="M9" s="592"/>
      <c r="N9" s="544"/>
      <c r="O9" s="543"/>
      <c r="P9" s="544"/>
      <c r="Q9" s="543"/>
      <c r="R9" s="544"/>
      <c r="S9" s="543"/>
      <c r="T9" s="544"/>
      <c r="U9" s="604"/>
      <c r="W9" s="372"/>
      <c r="X9" s="372"/>
      <c r="Z9" s="320"/>
      <c r="AA9" s="320"/>
      <c r="AB9" s="320"/>
      <c r="AC9" s="320"/>
      <c r="AD9" s="320" t="s">
        <v>1335</v>
      </c>
      <c r="AE9" s="325" t="s">
        <v>1325</v>
      </c>
      <c r="AF9" s="58" t="str">
        <f>IFERROR(VLOOKUP(I9,TELAS!$D$1:$E$685,2,0),"")</f>
        <v/>
      </c>
      <c r="AI9" s="151"/>
    </row>
    <row r="10" spans="1:35" s="56" customFormat="1" ht="15" customHeight="1" x14ac:dyDescent="0.3">
      <c r="A10" s="620"/>
      <c r="B10" s="642" t="s">
        <v>659</v>
      </c>
      <c r="C10" s="643"/>
      <c r="D10" s="643"/>
      <c r="E10" s="643"/>
      <c r="F10" s="643"/>
      <c r="G10" s="644"/>
      <c r="H10" s="63"/>
      <c r="I10" s="64" t="str">
        <f>IFERROR(VLOOKUP(B10,TELAS!C:D,2,0),"")</f>
        <v>XTH000</v>
      </c>
      <c r="J10" s="332" t="s">
        <v>1359</v>
      </c>
      <c r="K10" s="332" t="s">
        <v>1359</v>
      </c>
      <c r="L10" s="660"/>
      <c r="M10" s="661"/>
      <c r="N10" s="481"/>
      <c r="O10" s="482"/>
      <c r="P10" s="481"/>
      <c r="Q10" s="482"/>
      <c r="R10" s="481"/>
      <c r="S10" s="482"/>
      <c r="T10" s="481"/>
      <c r="U10" s="613"/>
      <c r="W10" s="372"/>
      <c r="X10" s="372"/>
      <c r="Z10" s="57" t="s">
        <v>1309</v>
      </c>
      <c r="AA10" s="614" t="s">
        <v>1344</v>
      </c>
      <c r="AB10" s="615"/>
      <c r="AC10" s="616"/>
      <c r="AD10" s="320"/>
      <c r="AF10" s="58" t="str">
        <f>IFERROR(VLOOKUP(I10,TELAS!$D$1:$E$685,2,0),"")</f>
        <v>kg</v>
      </c>
      <c r="AI10" s="151"/>
    </row>
    <row r="11" spans="1:35" s="56" customFormat="1" ht="15" customHeight="1" thickBot="1" x14ac:dyDescent="0.3">
      <c r="A11" s="620"/>
      <c r="B11" s="59" t="str">
        <f>IF(B10="","","TELA 3:")</f>
        <v>TELA 3:</v>
      </c>
      <c r="C11" s="649" t="s">
        <v>1346</v>
      </c>
      <c r="D11" s="649"/>
      <c r="E11" s="649"/>
      <c r="F11" s="649"/>
      <c r="G11" s="650"/>
      <c r="H11" s="66"/>
      <c r="I11" s="67"/>
      <c r="J11" s="231"/>
      <c r="K11" s="232"/>
      <c r="L11" s="668" t="s">
        <v>751</v>
      </c>
      <c r="M11" s="592"/>
      <c r="N11" s="544"/>
      <c r="O11" s="543"/>
      <c r="P11" s="544"/>
      <c r="Q11" s="543"/>
      <c r="R11" s="544"/>
      <c r="S11" s="543"/>
      <c r="T11" s="544"/>
      <c r="U11" s="604"/>
      <c r="W11" s="65"/>
      <c r="X11" s="65"/>
      <c r="Z11" s="62" t="s">
        <v>20</v>
      </c>
      <c r="AA11" s="583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G0DM00  CONJUNTO MUECA PURO - PLUSH</v>
      </c>
      <c r="AB11" s="583"/>
      <c r="AC11" s="584"/>
      <c r="AD11" s="320" t="s">
        <v>1335</v>
      </c>
      <c r="AE11" s="325" t="s">
        <v>1333</v>
      </c>
      <c r="AF11" s="58" t="str">
        <f>IFERROR(VLOOKUP(I11,TELAS!$D$1:$E$685,2,0),"")</f>
        <v/>
      </c>
      <c r="AI11" s="151"/>
    </row>
    <row r="12" spans="1:35" s="56" customFormat="1" ht="15" customHeight="1" x14ac:dyDescent="0.2">
      <c r="A12" s="620"/>
      <c r="B12" s="642" t="s">
        <v>659</v>
      </c>
      <c r="C12" s="643"/>
      <c r="D12" s="643"/>
      <c r="E12" s="643"/>
      <c r="F12" s="643"/>
      <c r="G12" s="644"/>
      <c r="H12" s="63"/>
      <c r="I12" s="64" t="str">
        <f>IFERROR(VLOOKUP(B12,TELAS!C:D,2,0),"")</f>
        <v>XTH000</v>
      </c>
      <c r="J12" s="332" t="s">
        <v>1359</v>
      </c>
      <c r="K12" s="332" t="s">
        <v>1359</v>
      </c>
      <c r="L12" s="666"/>
      <c r="M12" s="667"/>
      <c r="N12" s="589"/>
      <c r="O12" s="590"/>
      <c r="P12" s="589"/>
      <c r="Q12" s="590"/>
      <c r="R12" s="589"/>
      <c r="S12" s="590"/>
      <c r="T12" s="589"/>
      <c r="U12" s="605"/>
      <c r="W12" s="317"/>
      <c r="X12" s="69"/>
      <c r="Y12" s="71"/>
      <c r="Z12" s="320"/>
      <c r="AA12" s="320"/>
      <c r="AB12" s="320"/>
      <c r="AC12" s="320"/>
      <c r="AD12" s="320"/>
      <c r="AF12" s="58" t="str">
        <f>IFERROR(VLOOKUP(I12,TELAS!$D$1:$E$685,2,0),"")</f>
        <v>kg</v>
      </c>
      <c r="AI12" s="151"/>
    </row>
    <row r="13" spans="1:35" s="56" customFormat="1" ht="15" customHeight="1" thickBot="1" x14ac:dyDescent="0.25">
      <c r="A13" s="620"/>
      <c r="B13" s="59" t="str">
        <f>IF(B12="","","TELA 4:")</f>
        <v>TELA 4:</v>
      </c>
      <c r="C13" s="649" t="s">
        <v>1347</v>
      </c>
      <c r="D13" s="649"/>
      <c r="E13" s="649"/>
      <c r="F13" s="649"/>
      <c r="G13" s="650"/>
      <c r="H13" s="66"/>
      <c r="I13" s="67"/>
      <c r="J13" s="231"/>
      <c r="K13" s="232"/>
      <c r="L13" s="668" t="s">
        <v>1342</v>
      </c>
      <c r="M13" s="592"/>
      <c r="N13" s="544"/>
      <c r="O13" s="543"/>
      <c r="P13" s="544"/>
      <c r="Q13" s="543"/>
      <c r="R13" s="544"/>
      <c r="S13" s="543"/>
      <c r="T13" s="544"/>
      <c r="U13" s="604"/>
      <c r="X13" s="69"/>
      <c r="Y13" s="71"/>
      <c r="AD13" s="56" t="s">
        <v>1334</v>
      </c>
      <c r="AE13" s="325" t="s">
        <v>1330</v>
      </c>
      <c r="AF13" s="58" t="str">
        <f>IFERROR(VLOOKUP(I13,TELAS!$D$1:$E$685,2,0),"")</f>
        <v/>
      </c>
      <c r="AI13" s="151"/>
    </row>
    <row r="14" spans="1:35" s="56" customFormat="1" ht="15" customHeight="1" x14ac:dyDescent="0.2">
      <c r="A14" s="620"/>
      <c r="B14" s="642" t="s">
        <v>659</v>
      </c>
      <c r="C14" s="643"/>
      <c r="D14" s="643"/>
      <c r="E14" s="643"/>
      <c r="F14" s="643"/>
      <c r="G14" s="644"/>
      <c r="H14" s="63"/>
      <c r="I14" s="68" t="str">
        <f>IFERROR(VLOOKUP(B14,TELAS!C:D,2,0),"")</f>
        <v>XTH000</v>
      </c>
      <c r="J14" s="332" t="s">
        <v>1359</v>
      </c>
      <c r="K14" s="332" t="s">
        <v>1359</v>
      </c>
      <c r="L14" s="666"/>
      <c r="M14" s="667"/>
      <c r="N14" s="789" t="s">
        <v>1351</v>
      </c>
      <c r="O14" s="790"/>
      <c r="P14" s="790"/>
      <c r="Q14" s="790"/>
      <c r="R14" s="790"/>
      <c r="S14" s="790"/>
      <c r="T14" s="790"/>
      <c r="U14" s="791"/>
      <c r="W14" s="317"/>
      <c r="X14" s="69"/>
      <c r="Y14" s="71"/>
      <c r="AF14" s="58" t="str">
        <f>IFERROR(VLOOKUP(I14,TELAS!$D$1:$E$685,2,0),"")</f>
        <v>kg</v>
      </c>
      <c r="AI14" s="151"/>
    </row>
    <row r="15" spans="1:35" s="56" customFormat="1" ht="25.5" customHeight="1" x14ac:dyDescent="0.2">
      <c r="A15" s="620"/>
      <c r="B15" s="59" t="str">
        <f>IF(B14="","","TELA 5:")</f>
        <v>TELA 5:</v>
      </c>
      <c r="C15" s="649" t="s">
        <v>1350</v>
      </c>
      <c r="D15" s="649"/>
      <c r="E15" s="649"/>
      <c r="F15" s="649"/>
      <c r="G15" s="650"/>
      <c r="H15" s="66"/>
      <c r="I15" s="67"/>
      <c r="J15" s="231"/>
      <c r="K15" s="232"/>
      <c r="L15" s="668" t="s">
        <v>1342</v>
      </c>
      <c r="M15" s="592"/>
      <c r="N15" s="792"/>
      <c r="O15" s="793"/>
      <c r="P15" s="793"/>
      <c r="Q15" s="793"/>
      <c r="R15" s="793"/>
      <c r="S15" s="793"/>
      <c r="T15" s="793"/>
      <c r="U15" s="794"/>
      <c r="X15" s="69"/>
      <c r="Y15" s="71"/>
      <c r="AF15" s="58" t="str">
        <f>IFERROR(VLOOKUP(I15,TELAS!$D$1:$E$685,2,0),"")</f>
        <v/>
      </c>
      <c r="AI15" s="151"/>
    </row>
    <row r="16" spans="1:35" s="56" customFormat="1" ht="15" customHeight="1" x14ac:dyDescent="0.2">
      <c r="A16" s="620"/>
      <c r="B16" s="642"/>
      <c r="C16" s="643"/>
      <c r="D16" s="643"/>
      <c r="E16" s="643"/>
      <c r="F16" s="643"/>
      <c r="G16" s="644"/>
      <c r="H16" s="63"/>
      <c r="I16" s="68" t="str">
        <f>IFERROR(VLOOKUP(B16,TELAS!C:D,2,0),"")</f>
        <v/>
      </c>
      <c r="J16" s="229"/>
      <c r="K16" s="230"/>
      <c r="L16" s="666"/>
      <c r="M16" s="667"/>
      <c r="N16" s="589"/>
      <c r="O16" s="590"/>
      <c r="P16" s="589"/>
      <c r="Q16" s="590"/>
      <c r="R16" s="589"/>
      <c r="S16" s="590"/>
      <c r="T16" s="589"/>
      <c r="U16" s="605"/>
      <c r="X16" s="69"/>
      <c r="Y16" s="71"/>
      <c r="AD16" s="56" t="s">
        <v>1334</v>
      </c>
      <c r="AE16" s="56" t="s">
        <v>1331</v>
      </c>
      <c r="AF16" s="58"/>
      <c r="AI16" s="151"/>
    </row>
    <row r="17" spans="1:35" s="56" customFormat="1" ht="15" customHeight="1" x14ac:dyDescent="0.2">
      <c r="A17" s="620"/>
      <c r="B17" s="59" t="str">
        <f>IF(B16="","","TELA 6:")</f>
        <v/>
      </c>
      <c r="C17" s="649"/>
      <c r="D17" s="649"/>
      <c r="E17" s="649"/>
      <c r="F17" s="649"/>
      <c r="G17" s="650"/>
      <c r="H17" s="66"/>
      <c r="I17" s="67"/>
      <c r="J17" s="231"/>
      <c r="K17" s="232"/>
      <c r="L17" s="668"/>
      <c r="M17" s="592"/>
      <c r="N17" s="544"/>
      <c r="O17" s="543"/>
      <c r="P17" s="544"/>
      <c r="Q17" s="543"/>
      <c r="R17" s="544"/>
      <c r="S17" s="543"/>
      <c r="T17" s="544"/>
      <c r="U17" s="604"/>
      <c r="X17" s="69"/>
      <c r="Y17" s="71"/>
      <c r="AF17" s="58"/>
      <c r="AI17" s="151"/>
    </row>
    <row r="18" spans="1:35" s="56" customFormat="1" ht="15" customHeight="1" x14ac:dyDescent="0.2">
      <c r="A18" s="620"/>
      <c r="B18" s="642"/>
      <c r="C18" s="643"/>
      <c r="D18" s="643"/>
      <c r="E18" s="643"/>
      <c r="F18" s="643"/>
      <c r="G18" s="644"/>
      <c r="H18" s="63"/>
      <c r="I18" s="68" t="str">
        <f>IFERROR(VLOOKUP(B18,TELAS!C:D,2,0),"")</f>
        <v/>
      </c>
      <c r="J18" s="229"/>
      <c r="K18" s="230"/>
      <c r="L18" s="666"/>
      <c r="M18" s="667"/>
      <c r="N18" s="589"/>
      <c r="O18" s="590"/>
      <c r="P18" s="589"/>
      <c r="Q18" s="590"/>
      <c r="R18" s="589"/>
      <c r="S18" s="590"/>
      <c r="T18" s="589"/>
      <c r="U18" s="605"/>
      <c r="X18" s="69"/>
      <c r="Y18" s="71"/>
      <c r="AF18" s="58"/>
      <c r="AI18" s="151"/>
    </row>
    <row r="19" spans="1:35" s="56" customFormat="1" ht="15" customHeight="1" x14ac:dyDescent="0.2">
      <c r="A19" s="620"/>
      <c r="B19" s="59" t="str">
        <f>IF(B18="","","TELA 7:")</f>
        <v/>
      </c>
      <c r="C19" s="649"/>
      <c r="D19" s="649"/>
      <c r="E19" s="649"/>
      <c r="F19" s="649"/>
      <c r="G19" s="650"/>
      <c r="H19" s="66"/>
      <c r="I19" s="67"/>
      <c r="J19" s="231"/>
      <c r="K19" s="232"/>
      <c r="L19" s="668"/>
      <c r="M19" s="592"/>
      <c r="N19" s="544"/>
      <c r="O19" s="543"/>
      <c r="P19" s="544"/>
      <c r="Q19" s="543"/>
      <c r="R19" s="544"/>
      <c r="S19" s="543"/>
      <c r="T19" s="544"/>
      <c r="U19" s="604"/>
      <c r="W19" s="325"/>
      <c r="X19" s="69"/>
      <c r="Y19" s="71"/>
      <c r="AF19" s="58"/>
      <c r="AI19" s="151"/>
    </row>
    <row r="20" spans="1:35" s="56" customFormat="1" ht="15" customHeight="1" x14ac:dyDescent="0.2">
      <c r="A20" s="620"/>
      <c r="B20" s="642"/>
      <c r="C20" s="643"/>
      <c r="D20" s="643"/>
      <c r="E20" s="643"/>
      <c r="F20" s="643"/>
      <c r="G20" s="644"/>
      <c r="H20" s="63"/>
      <c r="I20" s="68" t="str">
        <f>IFERROR(VLOOKUP(B20,TELAS!C:D,2,0),"")</f>
        <v/>
      </c>
      <c r="J20" s="229"/>
      <c r="K20" s="230"/>
      <c r="L20" s="660"/>
      <c r="M20" s="661"/>
      <c r="N20" s="481"/>
      <c r="O20" s="482"/>
      <c r="P20" s="481"/>
      <c r="Q20" s="482"/>
      <c r="R20" s="481"/>
      <c r="S20" s="482"/>
      <c r="T20" s="481"/>
      <c r="U20" s="613"/>
      <c r="W20" s="69"/>
      <c r="X20" s="69"/>
      <c r="Y20" s="71"/>
      <c r="AF20" s="58" t="str">
        <f>IFERROR(VLOOKUP(I20,TELAS!$D$1:$E$685,2,0),"")</f>
        <v/>
      </c>
      <c r="AI20" s="151"/>
    </row>
    <row r="21" spans="1:35" s="56" customFormat="1" ht="15" customHeight="1" thickBot="1" x14ac:dyDescent="0.25">
      <c r="A21" s="620"/>
      <c r="B21" s="70" t="str">
        <f>IF(B20="","","TELA 8:")</f>
        <v/>
      </c>
      <c r="C21" s="566"/>
      <c r="D21" s="566"/>
      <c r="E21" s="566"/>
      <c r="F21" s="566"/>
      <c r="G21" s="567"/>
      <c r="H21" s="60"/>
      <c r="I21" s="61"/>
      <c r="J21" s="156"/>
      <c r="K21" s="233"/>
      <c r="L21" s="660"/>
      <c r="M21" s="661"/>
      <c r="N21" s="481"/>
      <c r="O21" s="482"/>
      <c r="P21" s="481"/>
      <c r="Q21" s="482"/>
      <c r="R21" s="481"/>
      <c r="S21" s="482"/>
      <c r="T21" s="481"/>
      <c r="U21" s="613"/>
      <c r="W21" s="69"/>
      <c r="X21" s="69"/>
      <c r="Y21" s="71"/>
      <c r="AF21" s="58" t="str">
        <f>IFERROR(VLOOKUP(I21,TELAS!$D$1:$E$685,2,0),"")</f>
        <v/>
      </c>
      <c r="AI21" s="151"/>
    </row>
    <row r="22" spans="1:35" ht="15" customHeight="1" x14ac:dyDescent="0.2">
      <c r="A22" s="621" t="s">
        <v>6</v>
      </c>
      <c r="B22" s="645" t="s">
        <v>190</v>
      </c>
      <c r="C22" s="646"/>
      <c r="D22" s="646"/>
      <c r="E22" s="646"/>
      <c r="F22" s="646"/>
      <c r="G22" s="647"/>
      <c r="H22" s="54"/>
      <c r="I22" s="72" t="str">
        <f>IFERROR(VLOOKUP(B22,AUX!E19:F22,2,0),"")</f>
        <v>XPB000</v>
      </c>
      <c r="J22" s="332" t="s">
        <v>1359</v>
      </c>
      <c r="K22" s="332" t="s">
        <v>1359</v>
      </c>
      <c r="L22" s="657" t="s">
        <v>1342</v>
      </c>
      <c r="M22" s="658"/>
      <c r="N22" s="658"/>
      <c r="O22" s="658"/>
      <c r="P22" s="658"/>
      <c r="Q22" s="658"/>
      <c r="R22" s="658"/>
      <c r="S22" s="658"/>
      <c r="T22" s="658"/>
      <c r="U22" s="659"/>
      <c r="W22" s="595" t="s">
        <v>810</v>
      </c>
      <c r="X22" s="596"/>
      <c r="Y22" s="71"/>
    </row>
    <row r="23" spans="1:35" ht="15" customHeight="1" thickBot="1" x14ac:dyDescent="0.25">
      <c r="A23" s="622"/>
      <c r="B23" s="639" t="s">
        <v>1353</v>
      </c>
      <c r="C23" s="640"/>
      <c r="D23" s="640"/>
      <c r="E23" s="640"/>
      <c r="F23" s="640"/>
      <c r="G23" s="641"/>
      <c r="H23" s="60"/>
      <c r="I23" s="61"/>
      <c r="J23" s="156"/>
      <c r="K23" s="52"/>
      <c r="L23" s="707"/>
      <c r="M23" s="708"/>
      <c r="N23" s="526"/>
      <c r="O23" s="527"/>
      <c r="P23" s="526"/>
      <c r="Q23" s="527"/>
      <c r="R23" s="526"/>
      <c r="S23" s="527"/>
      <c r="T23" s="526"/>
      <c r="U23" s="612"/>
      <c r="W23" s="597"/>
      <c r="X23" s="598"/>
    </row>
    <row r="24" spans="1:35" s="56" customFormat="1" ht="15" customHeight="1" x14ac:dyDescent="0.2">
      <c r="A24" s="622"/>
      <c r="B24" s="636"/>
      <c r="C24" s="637"/>
      <c r="D24" s="637"/>
      <c r="E24" s="637"/>
      <c r="F24" s="637"/>
      <c r="G24" s="638"/>
      <c r="H24" s="63"/>
      <c r="I24" s="74"/>
      <c r="J24" s="236"/>
      <c r="K24" s="237"/>
      <c r="L24" s="717"/>
      <c r="M24" s="718"/>
      <c r="N24" s="593"/>
      <c r="O24" s="529"/>
      <c r="P24" s="593"/>
      <c r="Q24" s="529"/>
      <c r="R24" s="593"/>
      <c r="S24" s="529"/>
      <c r="T24" s="593"/>
      <c r="U24" s="594"/>
      <c r="W24" s="599" t="s">
        <v>811</v>
      </c>
      <c r="X24" s="600"/>
      <c r="AF24" s="58"/>
      <c r="AI24" s="151"/>
    </row>
    <row r="25" spans="1:35" s="56" customFormat="1" ht="15" customHeight="1" thickBot="1" x14ac:dyDescent="0.25">
      <c r="A25" s="623"/>
      <c r="B25" s="742"/>
      <c r="C25" s="743"/>
      <c r="D25" s="743"/>
      <c r="E25" s="743"/>
      <c r="F25" s="743"/>
      <c r="G25" s="744"/>
      <c r="H25" s="75"/>
      <c r="I25" s="76"/>
      <c r="J25" s="238"/>
      <c r="K25" s="239"/>
      <c r="L25" s="705"/>
      <c r="M25" s="706"/>
      <c r="N25" s="655"/>
      <c r="O25" s="709"/>
      <c r="P25" s="655"/>
      <c r="Q25" s="709"/>
      <c r="R25" s="655"/>
      <c r="S25" s="709"/>
      <c r="T25" s="655"/>
      <c r="U25" s="656"/>
      <c r="W25" s="601"/>
      <c r="X25" s="602"/>
      <c r="AF25" s="58"/>
      <c r="AI25" s="151"/>
    </row>
    <row r="26" spans="1:35" s="56" customFormat="1" ht="15" customHeight="1" x14ac:dyDescent="0.2">
      <c r="A26" s="621" t="s">
        <v>0</v>
      </c>
      <c r="B26" s="645" t="s">
        <v>222</v>
      </c>
      <c r="C26" s="646"/>
      <c r="D26" s="646"/>
      <c r="E26" s="646"/>
      <c r="F26" s="646"/>
      <c r="G26" s="647"/>
      <c r="H26" s="54"/>
      <c r="I26" s="55" t="str">
        <f>IFERROR(VLOOKUP(B26,AUX!E23:F39,2,0),"")</f>
        <v>XAE216</v>
      </c>
      <c r="J26" s="332" t="s">
        <v>1359</v>
      </c>
      <c r="K26" s="332" t="s">
        <v>1359</v>
      </c>
      <c r="L26" s="657" t="s">
        <v>1342</v>
      </c>
      <c r="M26" s="658"/>
      <c r="N26" s="658"/>
      <c r="O26" s="658"/>
      <c r="P26" s="658"/>
      <c r="Q26" s="658"/>
      <c r="R26" s="658"/>
      <c r="S26" s="658"/>
      <c r="T26" s="658"/>
      <c r="U26" s="659"/>
      <c r="W26" s="585" t="s">
        <v>147</v>
      </c>
      <c r="X26" s="586"/>
      <c r="AF26" s="58"/>
      <c r="AI26" s="151"/>
    </row>
    <row r="27" spans="1:35" s="56" customFormat="1" ht="15" customHeight="1" thickBot="1" x14ac:dyDescent="0.25">
      <c r="A27" s="622"/>
      <c r="B27" s="639"/>
      <c r="C27" s="640"/>
      <c r="D27" s="640"/>
      <c r="E27" s="640"/>
      <c r="F27" s="640"/>
      <c r="G27" s="641"/>
      <c r="H27" s="60"/>
      <c r="I27" s="77"/>
      <c r="J27" s="156"/>
      <c r="K27" s="52"/>
      <c r="L27" s="702"/>
      <c r="M27" s="703"/>
      <c r="N27" s="703"/>
      <c r="O27" s="703"/>
      <c r="P27" s="703"/>
      <c r="Q27" s="703"/>
      <c r="R27" s="703"/>
      <c r="S27" s="703"/>
      <c r="T27" s="703"/>
      <c r="U27" s="704"/>
      <c r="W27" s="585"/>
      <c r="X27" s="586"/>
      <c r="AF27" s="58"/>
      <c r="AI27" s="151"/>
    </row>
    <row r="28" spans="1:35" s="56" customFormat="1" ht="15" customHeight="1" x14ac:dyDescent="0.2">
      <c r="A28" s="622"/>
      <c r="B28" s="642" t="s">
        <v>71</v>
      </c>
      <c r="C28" s="643"/>
      <c r="D28" s="643"/>
      <c r="E28" s="643"/>
      <c r="F28" s="643"/>
      <c r="G28" s="644"/>
      <c r="H28" s="63" t="s">
        <v>787</v>
      </c>
      <c r="I28" s="158" t="s">
        <v>1355</v>
      </c>
      <c r="J28" s="332" t="s">
        <v>1359</v>
      </c>
      <c r="K28" s="332" t="s">
        <v>1359</v>
      </c>
      <c r="L28" s="657" t="s">
        <v>1342</v>
      </c>
      <c r="M28" s="658"/>
      <c r="N28" s="658"/>
      <c r="O28" s="658"/>
      <c r="P28" s="658"/>
      <c r="Q28" s="658"/>
      <c r="R28" s="658"/>
      <c r="S28" s="658"/>
      <c r="T28" s="658"/>
      <c r="U28" s="659"/>
      <c r="W28" s="585"/>
      <c r="X28" s="586"/>
      <c r="AF28" s="58"/>
      <c r="AI28" s="151"/>
    </row>
    <row r="29" spans="1:35" s="56" customFormat="1" ht="15" customHeight="1" x14ac:dyDescent="0.2">
      <c r="A29" s="622"/>
      <c r="B29" s="648" t="s">
        <v>1354</v>
      </c>
      <c r="C29" s="649"/>
      <c r="D29" s="649"/>
      <c r="E29" s="649"/>
      <c r="F29" s="649"/>
      <c r="G29" s="650"/>
      <c r="H29" s="159"/>
      <c r="I29" s="129"/>
      <c r="J29" s="271"/>
      <c r="K29" s="52"/>
      <c r="L29" s="668"/>
      <c r="M29" s="592"/>
      <c r="N29" s="591"/>
      <c r="O29" s="592"/>
      <c r="P29" s="591"/>
      <c r="Q29" s="592"/>
      <c r="R29" s="591"/>
      <c r="S29" s="592"/>
      <c r="T29" s="591"/>
      <c r="U29" s="603"/>
      <c r="W29" s="585"/>
      <c r="X29" s="586"/>
      <c r="AF29" s="58"/>
      <c r="AI29" s="151"/>
    </row>
    <row r="30" spans="1:35" s="56" customFormat="1" ht="15" customHeight="1" x14ac:dyDescent="0.2">
      <c r="A30" s="622"/>
      <c r="B30" s="642"/>
      <c r="C30" s="643"/>
      <c r="D30" s="643"/>
      <c r="E30" s="643"/>
      <c r="F30" s="643"/>
      <c r="G30" s="644"/>
      <c r="H30" s="63"/>
      <c r="I30" s="68"/>
      <c r="J30" s="236"/>
      <c r="K30" s="237"/>
      <c r="L30" s="528"/>
      <c r="M30" s="529"/>
      <c r="N30" s="593"/>
      <c r="O30" s="529"/>
      <c r="P30" s="593"/>
      <c r="Q30" s="529"/>
      <c r="R30" s="593"/>
      <c r="S30" s="529"/>
      <c r="T30" s="593"/>
      <c r="U30" s="594"/>
      <c r="W30" s="585"/>
      <c r="X30" s="586"/>
      <c r="AF30" s="58"/>
      <c r="AI30" s="151"/>
    </row>
    <row r="31" spans="1:35" s="56" customFormat="1" ht="15" customHeight="1" x14ac:dyDescent="0.2">
      <c r="A31" s="622"/>
      <c r="B31" s="639"/>
      <c r="C31" s="640"/>
      <c r="D31" s="640"/>
      <c r="E31" s="640"/>
      <c r="F31" s="640"/>
      <c r="G31" s="641"/>
      <c r="H31" s="60"/>
      <c r="I31" s="61"/>
      <c r="J31" s="156"/>
      <c r="K31" s="52"/>
      <c r="L31" s="668"/>
      <c r="M31" s="592"/>
      <c r="N31" s="591"/>
      <c r="O31" s="592"/>
      <c r="P31" s="591"/>
      <c r="Q31" s="592"/>
      <c r="R31" s="591"/>
      <c r="S31" s="592"/>
      <c r="T31" s="591"/>
      <c r="U31" s="603"/>
      <c r="W31" s="585"/>
      <c r="X31" s="586"/>
      <c r="AF31" s="58"/>
      <c r="AI31" s="151"/>
    </row>
    <row r="32" spans="1:35" s="56" customFormat="1" ht="15" customHeight="1" x14ac:dyDescent="0.2">
      <c r="A32" s="622"/>
      <c r="B32" s="636"/>
      <c r="C32" s="637"/>
      <c r="D32" s="637"/>
      <c r="E32" s="637"/>
      <c r="F32" s="637"/>
      <c r="G32" s="638"/>
      <c r="H32" s="63"/>
      <c r="I32" s="74"/>
      <c r="J32" s="236"/>
      <c r="K32" s="237"/>
      <c r="L32" s="528"/>
      <c r="M32" s="529"/>
      <c r="N32" s="593"/>
      <c r="O32" s="529"/>
      <c r="P32" s="593"/>
      <c r="Q32" s="529"/>
      <c r="R32" s="593"/>
      <c r="S32" s="529"/>
      <c r="T32" s="593"/>
      <c r="U32" s="594"/>
      <c r="W32" s="585"/>
      <c r="X32" s="586"/>
      <c r="AF32" s="58"/>
      <c r="AI32" s="151"/>
    </row>
    <row r="33" spans="1:35" s="56" customFormat="1" ht="15" customHeight="1" x14ac:dyDescent="0.2">
      <c r="A33" s="622"/>
      <c r="B33" s="639"/>
      <c r="C33" s="640"/>
      <c r="D33" s="640"/>
      <c r="E33" s="640"/>
      <c r="F33" s="640"/>
      <c r="G33" s="641"/>
      <c r="H33" s="60"/>
      <c r="I33" s="78"/>
      <c r="J33" s="156"/>
      <c r="K33" s="52"/>
      <c r="L33" s="668"/>
      <c r="M33" s="592"/>
      <c r="N33" s="591"/>
      <c r="O33" s="592"/>
      <c r="P33" s="591"/>
      <c r="Q33" s="592"/>
      <c r="R33" s="591"/>
      <c r="S33" s="592"/>
      <c r="T33" s="591"/>
      <c r="U33" s="603"/>
      <c r="W33" s="585"/>
      <c r="X33" s="586"/>
      <c r="AF33" s="58"/>
      <c r="AI33" s="151"/>
    </row>
    <row r="34" spans="1:35" s="56" customFormat="1" ht="15" customHeight="1" x14ac:dyDescent="0.2">
      <c r="A34" s="622"/>
      <c r="B34" s="636"/>
      <c r="C34" s="637"/>
      <c r="D34" s="637"/>
      <c r="E34" s="637"/>
      <c r="F34" s="637"/>
      <c r="G34" s="638"/>
      <c r="H34" s="63"/>
      <c r="I34" s="74"/>
      <c r="J34" s="236"/>
      <c r="K34" s="237"/>
      <c r="L34" s="528"/>
      <c r="M34" s="529"/>
      <c r="N34" s="593"/>
      <c r="O34" s="529"/>
      <c r="P34" s="593"/>
      <c r="Q34" s="529"/>
      <c r="R34" s="593"/>
      <c r="S34" s="529"/>
      <c r="T34" s="593"/>
      <c r="U34" s="594"/>
      <c r="W34" s="585"/>
      <c r="X34" s="586"/>
      <c r="AF34" s="58"/>
      <c r="AI34" s="151"/>
    </row>
    <row r="35" spans="1:35" s="56" customFormat="1" ht="15" customHeight="1" thickBot="1" x14ac:dyDescent="0.25">
      <c r="A35" s="622"/>
      <c r="B35" s="639"/>
      <c r="C35" s="640"/>
      <c r="D35" s="640"/>
      <c r="E35" s="640"/>
      <c r="F35" s="640"/>
      <c r="G35" s="641"/>
      <c r="H35" s="60"/>
      <c r="I35" s="78"/>
      <c r="J35" s="156"/>
      <c r="K35" s="52"/>
      <c r="L35" s="668"/>
      <c r="M35" s="592"/>
      <c r="N35" s="591"/>
      <c r="O35" s="592"/>
      <c r="P35" s="591"/>
      <c r="Q35" s="592"/>
      <c r="R35" s="591"/>
      <c r="S35" s="592"/>
      <c r="T35" s="591"/>
      <c r="U35" s="603"/>
      <c r="W35" s="587"/>
      <c r="X35" s="588"/>
      <c r="AF35" s="58"/>
      <c r="AI35" s="151"/>
    </row>
    <row r="36" spans="1:35" s="56" customFormat="1" ht="15" customHeight="1" thickTop="1" x14ac:dyDescent="0.25">
      <c r="A36" s="622"/>
      <c r="B36" s="490" t="s">
        <v>37</v>
      </c>
      <c r="C36" s="491"/>
      <c r="D36" s="491"/>
      <c r="E36" s="491"/>
      <c r="F36" s="491"/>
      <c r="G36" s="492"/>
      <c r="H36" s="79" t="s">
        <v>788</v>
      </c>
      <c r="I36" s="80" t="s">
        <v>160</v>
      </c>
      <c r="J36" s="263"/>
      <c r="K36" s="264"/>
      <c r="L36" s="662" t="s">
        <v>751</v>
      </c>
      <c r="M36" s="487"/>
      <c r="N36" s="468"/>
      <c r="O36" s="469"/>
      <c r="P36" s="468"/>
      <c r="Q36" s="469"/>
      <c r="R36" s="468"/>
      <c r="S36" s="469"/>
      <c r="T36" s="468"/>
      <c r="U36" s="701"/>
      <c r="W36" s="776" t="s">
        <v>148</v>
      </c>
      <c r="X36" s="777"/>
      <c r="Y36" s="83"/>
      <c r="Z36" s="83"/>
      <c r="AA36" s="83"/>
      <c r="AB36" s="84"/>
      <c r="AF36" s="58"/>
      <c r="AI36" s="151"/>
    </row>
    <row r="37" spans="1:35" s="56" customFormat="1" ht="15" customHeight="1" thickBot="1" x14ac:dyDescent="0.25">
      <c r="A37" s="622"/>
      <c r="B37" s="476" t="s">
        <v>716</v>
      </c>
      <c r="C37" s="477"/>
      <c r="D37" s="477"/>
      <c r="E37" s="477"/>
      <c r="F37" s="477"/>
      <c r="G37" s="478"/>
      <c r="H37" s="85"/>
      <c r="J37" s="268"/>
      <c r="K37" s="267"/>
      <c r="L37" s="160" t="s">
        <v>293</v>
      </c>
      <c r="M37" s="161" t="s">
        <v>361</v>
      </c>
      <c r="N37" s="161" t="s">
        <v>299</v>
      </c>
      <c r="O37" s="161" t="s">
        <v>305</v>
      </c>
      <c r="P37" s="161" t="s">
        <v>224</v>
      </c>
      <c r="Q37" s="161"/>
      <c r="R37" s="161"/>
      <c r="S37" s="161"/>
      <c r="T37" s="161"/>
      <c r="U37" s="162" t="s">
        <v>25</v>
      </c>
      <c r="W37" s="778"/>
      <c r="X37" s="779"/>
      <c r="Y37" s="86"/>
      <c r="Z37" s="86"/>
      <c r="AA37" s="86"/>
      <c r="AB37" s="87"/>
      <c r="AF37" s="58"/>
      <c r="AI37" s="151"/>
    </row>
    <row r="38" spans="1:35" s="56" customFormat="1" ht="15" customHeight="1" x14ac:dyDescent="0.2">
      <c r="A38" s="622"/>
      <c r="B38" s="719"/>
      <c r="C38" s="720"/>
      <c r="D38" s="720"/>
      <c r="E38" s="720"/>
      <c r="F38" s="720"/>
      <c r="G38" s="721"/>
      <c r="H38" s="695" t="s">
        <v>36</v>
      </c>
      <c r="I38" s="696"/>
      <c r="J38" s="696"/>
      <c r="K38" s="697"/>
      <c r="L38" s="163">
        <v>36</v>
      </c>
      <c r="M38" s="164">
        <v>37</v>
      </c>
      <c r="N38" s="164">
        <v>38</v>
      </c>
      <c r="O38" s="164">
        <v>39</v>
      </c>
      <c r="P38" s="207">
        <v>40</v>
      </c>
      <c r="Q38" s="166"/>
      <c r="R38" s="166"/>
      <c r="S38" s="166"/>
      <c r="T38" s="166"/>
      <c r="U38" s="201" t="s">
        <v>26</v>
      </c>
      <c r="W38" s="778"/>
      <c r="X38" s="779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622"/>
      <c r="B39" s="470"/>
      <c r="C39" s="471"/>
      <c r="D39" s="471"/>
      <c r="E39" s="471"/>
      <c r="F39" s="471"/>
      <c r="G39" s="472"/>
      <c r="H39" s="465" t="s">
        <v>40</v>
      </c>
      <c r="I39" s="466"/>
      <c r="J39" s="466"/>
      <c r="K39" s="467"/>
      <c r="L39" s="189">
        <f>IF(L38="","",CONVERT(L38,"cm","m"))</f>
        <v>0.36</v>
      </c>
      <c r="M39" s="190">
        <f>IF(M38="","",CONVERT(M38,"cm","m"))</f>
        <v>0.37</v>
      </c>
      <c r="N39" s="190">
        <f t="shared" ref="N39:P39" si="0">IF(N38="","",CONVERT(N38,"cm","m"))</f>
        <v>0.38</v>
      </c>
      <c r="O39" s="190">
        <f t="shared" si="0"/>
        <v>0.39</v>
      </c>
      <c r="P39" s="190">
        <f t="shared" si="0"/>
        <v>0.4</v>
      </c>
      <c r="Q39" s="168"/>
      <c r="R39" s="168"/>
      <c r="S39" s="168"/>
      <c r="T39" s="167"/>
      <c r="U39" s="202" t="s">
        <v>27</v>
      </c>
      <c r="W39" s="778"/>
      <c r="X39" s="779"/>
      <c r="AB39" s="87"/>
      <c r="AF39" s="58"/>
      <c r="AI39" s="151"/>
    </row>
    <row r="40" spans="1:35" s="56" customFormat="1" ht="15" customHeight="1" x14ac:dyDescent="0.25">
      <c r="A40" s="622"/>
      <c r="B40" s="490"/>
      <c r="C40" s="491"/>
      <c r="D40" s="491"/>
      <c r="E40" s="491"/>
      <c r="F40" s="491"/>
      <c r="G40" s="492"/>
      <c r="H40" s="79"/>
      <c r="I40" s="94"/>
      <c r="J40" s="240"/>
      <c r="K40" s="237"/>
      <c r="L40" s="694"/>
      <c r="M40" s="469"/>
      <c r="N40" s="486"/>
      <c r="O40" s="487"/>
      <c r="P40" s="486"/>
      <c r="Q40" s="487"/>
      <c r="R40" s="486"/>
      <c r="S40" s="487"/>
      <c r="T40" s="486"/>
      <c r="U40" s="664"/>
      <c r="W40" s="778"/>
      <c r="X40" s="779"/>
      <c r="Y40" s="83"/>
      <c r="Z40" s="83"/>
      <c r="AA40" s="83"/>
      <c r="AB40" s="84"/>
      <c r="AF40" s="58"/>
      <c r="AI40" s="151"/>
    </row>
    <row r="41" spans="1:35" s="56" customFormat="1" ht="15" customHeight="1" x14ac:dyDescent="0.25">
      <c r="A41" s="622"/>
      <c r="B41" s="488"/>
      <c r="C41" s="428"/>
      <c r="D41" s="428"/>
      <c r="E41" s="428"/>
      <c r="F41" s="428"/>
      <c r="G41" s="489"/>
      <c r="H41" s="95"/>
      <c r="I41" s="96"/>
      <c r="J41" s="241"/>
      <c r="K41" s="52"/>
      <c r="L41" s="98"/>
      <c r="M41" s="99"/>
      <c r="N41" s="99"/>
      <c r="O41" s="99"/>
      <c r="P41" s="99"/>
      <c r="Q41" s="99"/>
      <c r="R41" s="99"/>
      <c r="S41" s="99"/>
      <c r="T41" s="99"/>
      <c r="U41" s="100"/>
      <c r="W41" s="778"/>
      <c r="X41" s="779"/>
      <c r="Y41" s="93"/>
      <c r="Z41" s="93"/>
      <c r="AA41" s="93"/>
      <c r="AB41" s="84"/>
      <c r="AF41" s="58"/>
      <c r="AI41" s="151"/>
    </row>
    <row r="42" spans="1:35" s="56" customFormat="1" ht="15" customHeight="1" x14ac:dyDescent="0.2">
      <c r="A42" s="622"/>
      <c r="B42" s="473"/>
      <c r="C42" s="474"/>
      <c r="D42" s="474"/>
      <c r="E42" s="474"/>
      <c r="F42" s="474"/>
      <c r="G42" s="475"/>
      <c r="H42" s="496"/>
      <c r="I42" s="496"/>
      <c r="J42" s="496"/>
      <c r="K42" s="497"/>
      <c r="L42" s="101"/>
      <c r="M42" s="102"/>
      <c r="N42" s="102"/>
      <c r="O42" s="102"/>
      <c r="P42" s="102"/>
      <c r="Q42" s="102"/>
      <c r="R42" s="102"/>
      <c r="S42" s="102"/>
      <c r="T42" s="103"/>
      <c r="U42" s="104"/>
      <c r="W42" s="778"/>
      <c r="X42" s="779"/>
      <c r="Y42" s="86"/>
      <c r="Z42" s="86"/>
      <c r="AA42" s="86"/>
      <c r="AB42" s="87"/>
      <c r="AF42" s="58"/>
      <c r="AI42" s="151"/>
    </row>
    <row r="43" spans="1:35" s="56" customFormat="1" ht="15" customHeight="1" x14ac:dyDescent="0.2">
      <c r="A43" s="622"/>
      <c r="B43" s="698"/>
      <c r="C43" s="699"/>
      <c r="D43" s="699"/>
      <c r="E43" s="699"/>
      <c r="F43" s="699"/>
      <c r="G43" s="700"/>
      <c r="H43" s="498"/>
      <c r="I43" s="498"/>
      <c r="J43" s="498"/>
      <c r="K43" s="499"/>
      <c r="L43" s="88"/>
      <c r="M43" s="89"/>
      <c r="N43" s="89"/>
      <c r="O43" s="89"/>
      <c r="P43" s="89"/>
      <c r="Q43" s="89"/>
      <c r="R43" s="89"/>
      <c r="S43" s="89"/>
      <c r="T43" s="90"/>
      <c r="U43" s="91"/>
      <c r="W43" s="778"/>
      <c r="X43" s="779"/>
      <c r="AB43" s="87"/>
      <c r="AF43" s="58"/>
      <c r="AI43" s="151"/>
    </row>
    <row r="44" spans="1:35" s="56" customFormat="1" ht="15" customHeight="1" x14ac:dyDescent="0.2">
      <c r="A44" s="622"/>
      <c r="B44" s="490"/>
      <c r="C44" s="491"/>
      <c r="D44" s="491"/>
      <c r="E44" s="491"/>
      <c r="F44" s="491"/>
      <c r="G44" s="492"/>
      <c r="H44" s="79"/>
      <c r="I44" s="94"/>
      <c r="J44" s="240"/>
      <c r="K44" s="237"/>
      <c r="L44" s="694"/>
      <c r="M44" s="469"/>
      <c r="N44" s="486"/>
      <c r="O44" s="487"/>
      <c r="P44" s="486"/>
      <c r="Q44" s="487"/>
      <c r="R44" s="486"/>
      <c r="S44" s="487"/>
      <c r="T44" s="486"/>
      <c r="U44" s="664"/>
      <c r="W44" s="778"/>
      <c r="X44" s="779"/>
      <c r="AB44" s="87"/>
      <c r="AF44" s="58"/>
      <c r="AI44" s="151"/>
    </row>
    <row r="45" spans="1:35" s="56" customFormat="1" ht="15" customHeight="1" x14ac:dyDescent="0.2">
      <c r="A45" s="622"/>
      <c r="B45" s="488"/>
      <c r="C45" s="428"/>
      <c r="D45" s="428"/>
      <c r="E45" s="428"/>
      <c r="F45" s="428"/>
      <c r="G45" s="489"/>
      <c r="H45" s="95"/>
      <c r="I45" s="96"/>
      <c r="J45" s="241"/>
      <c r="K45" s="52"/>
      <c r="L45" s="98"/>
      <c r="M45" s="99"/>
      <c r="N45" s="99"/>
      <c r="O45" s="99"/>
      <c r="P45" s="99"/>
      <c r="Q45" s="99"/>
      <c r="R45" s="99"/>
      <c r="S45" s="99"/>
      <c r="T45" s="99"/>
      <c r="U45" s="100"/>
      <c r="W45" s="778"/>
      <c r="X45" s="779"/>
      <c r="AB45" s="87"/>
      <c r="AF45" s="58"/>
      <c r="AI45" s="151"/>
    </row>
    <row r="46" spans="1:35" s="56" customFormat="1" ht="15" customHeight="1" x14ac:dyDescent="0.2">
      <c r="A46" s="622"/>
      <c r="B46" s="473"/>
      <c r="C46" s="474"/>
      <c r="D46" s="474"/>
      <c r="E46" s="474"/>
      <c r="F46" s="474"/>
      <c r="G46" s="475"/>
      <c r="H46" s="496"/>
      <c r="I46" s="496"/>
      <c r="J46" s="496"/>
      <c r="K46" s="497"/>
      <c r="L46" s="101"/>
      <c r="M46" s="102"/>
      <c r="N46" s="102"/>
      <c r="O46" s="102"/>
      <c r="P46" s="102"/>
      <c r="Q46" s="102"/>
      <c r="R46" s="102"/>
      <c r="S46" s="102"/>
      <c r="T46" s="103"/>
      <c r="U46" s="104"/>
      <c r="W46" s="778"/>
      <c r="X46" s="779"/>
      <c r="AF46" s="58"/>
      <c r="AI46" s="151"/>
    </row>
    <row r="47" spans="1:35" s="56" customFormat="1" ht="15" customHeight="1" thickBot="1" x14ac:dyDescent="0.25">
      <c r="A47" s="622"/>
      <c r="B47" s="698"/>
      <c r="C47" s="699"/>
      <c r="D47" s="699"/>
      <c r="E47" s="699"/>
      <c r="F47" s="699"/>
      <c r="G47" s="700"/>
      <c r="H47" s="498"/>
      <c r="I47" s="498"/>
      <c r="J47" s="498"/>
      <c r="K47" s="499"/>
      <c r="L47" s="88"/>
      <c r="M47" s="89"/>
      <c r="N47" s="89"/>
      <c r="O47" s="89"/>
      <c r="P47" s="89"/>
      <c r="Q47" s="89"/>
      <c r="R47" s="89"/>
      <c r="S47" s="89"/>
      <c r="T47" s="90"/>
      <c r="U47" s="91"/>
      <c r="W47" s="778"/>
      <c r="X47" s="779"/>
      <c r="Z47" s="56" t="s">
        <v>792</v>
      </c>
      <c r="AF47" s="58"/>
      <c r="AI47" s="151"/>
    </row>
    <row r="48" spans="1:35" s="56" customFormat="1" ht="15" hidden="1" customHeight="1" x14ac:dyDescent="0.2">
      <c r="A48" s="622"/>
      <c r="B48" s="490"/>
      <c r="C48" s="491"/>
      <c r="D48" s="491"/>
      <c r="E48" s="491"/>
      <c r="F48" s="491"/>
      <c r="G48" s="492"/>
      <c r="H48" s="63"/>
      <c r="I48" s="94"/>
      <c r="J48" s="81"/>
      <c r="K48" s="82"/>
      <c r="L48" s="694"/>
      <c r="M48" s="469"/>
      <c r="N48" s="486"/>
      <c r="O48" s="487"/>
      <c r="P48" s="486"/>
      <c r="Q48" s="487"/>
      <c r="R48" s="486"/>
      <c r="S48" s="487"/>
      <c r="T48" s="486"/>
      <c r="U48" s="664"/>
      <c r="W48" s="778"/>
      <c r="X48" s="779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622"/>
      <c r="B49" s="488"/>
      <c r="C49" s="428"/>
      <c r="D49" s="428"/>
      <c r="E49" s="428"/>
      <c r="F49" s="428"/>
      <c r="G49" s="489"/>
      <c r="H49" s="92"/>
      <c r="I49" s="96"/>
      <c r="J49" s="97"/>
      <c r="K49" s="73"/>
      <c r="L49" s="98"/>
      <c r="M49" s="99"/>
      <c r="N49" s="99"/>
      <c r="O49" s="99"/>
      <c r="P49" s="99"/>
      <c r="Q49" s="99"/>
      <c r="R49" s="99"/>
      <c r="S49" s="99"/>
      <c r="T49" s="99"/>
      <c r="U49" s="100"/>
      <c r="W49" s="778"/>
      <c r="X49" s="779"/>
      <c r="Y49" s="105"/>
      <c r="Z49" s="105"/>
      <c r="AA49" s="105"/>
      <c r="AF49" s="58"/>
      <c r="AI49" s="151"/>
    </row>
    <row r="50" spans="1:35" s="56" customFormat="1" ht="15" hidden="1" customHeight="1" x14ac:dyDescent="0.2">
      <c r="A50" s="622"/>
      <c r="B50" s="473"/>
      <c r="C50" s="474"/>
      <c r="D50" s="474"/>
      <c r="E50" s="474"/>
      <c r="F50" s="474"/>
      <c r="G50" s="475"/>
      <c r="H50" s="496"/>
      <c r="I50" s="496"/>
      <c r="J50" s="496"/>
      <c r="K50" s="497"/>
      <c r="L50" s="101"/>
      <c r="M50" s="102"/>
      <c r="N50" s="102"/>
      <c r="O50" s="102"/>
      <c r="P50" s="102"/>
      <c r="Q50" s="102"/>
      <c r="R50" s="102"/>
      <c r="S50" s="102"/>
      <c r="T50" s="103"/>
      <c r="U50" s="104"/>
      <c r="W50" s="778"/>
      <c r="X50" s="779"/>
      <c r="Y50" s="105"/>
      <c r="Z50" s="105"/>
      <c r="AA50" s="105"/>
      <c r="AF50" s="58"/>
      <c r="AI50" s="151"/>
    </row>
    <row r="51" spans="1:35" s="56" customFormat="1" ht="15" hidden="1" customHeight="1" x14ac:dyDescent="0.2">
      <c r="A51" s="622"/>
      <c r="B51" s="698"/>
      <c r="C51" s="699"/>
      <c r="D51" s="699"/>
      <c r="E51" s="699"/>
      <c r="F51" s="699"/>
      <c r="G51" s="700"/>
      <c r="H51" s="498"/>
      <c r="I51" s="498"/>
      <c r="J51" s="498"/>
      <c r="K51" s="499"/>
      <c r="L51" s="88"/>
      <c r="M51" s="89"/>
      <c r="N51" s="89"/>
      <c r="O51" s="89"/>
      <c r="P51" s="89"/>
      <c r="Q51" s="89"/>
      <c r="R51" s="89"/>
      <c r="S51" s="89"/>
      <c r="T51" s="90"/>
      <c r="U51" s="91"/>
      <c r="W51" s="778"/>
      <c r="X51" s="779"/>
      <c r="Y51" s="105"/>
      <c r="Z51" s="105"/>
      <c r="AA51" s="105"/>
      <c r="AF51" s="58"/>
      <c r="AI51" s="151"/>
    </row>
    <row r="52" spans="1:35" s="56" customFormat="1" ht="15" hidden="1" customHeight="1" x14ac:dyDescent="0.2">
      <c r="A52" s="622"/>
      <c r="B52" s="490"/>
      <c r="C52" s="491"/>
      <c r="D52" s="491"/>
      <c r="E52" s="491"/>
      <c r="F52" s="491"/>
      <c r="G52" s="492"/>
      <c r="H52" s="63"/>
      <c r="I52" s="94"/>
      <c r="J52" s="240"/>
      <c r="K52" s="237"/>
      <c r="L52" s="694"/>
      <c r="M52" s="469"/>
      <c r="N52" s="486"/>
      <c r="O52" s="487"/>
      <c r="P52" s="486"/>
      <c r="Q52" s="487"/>
      <c r="R52" s="486"/>
      <c r="S52" s="487"/>
      <c r="T52" s="486"/>
      <c r="U52" s="664"/>
      <c r="W52" s="778"/>
      <c r="X52" s="779"/>
      <c r="Y52" s="105"/>
      <c r="Z52" s="105"/>
      <c r="AA52" s="105"/>
      <c r="AF52" s="58"/>
      <c r="AI52" s="151"/>
    </row>
    <row r="53" spans="1:35" s="56" customFormat="1" ht="15" hidden="1" customHeight="1" x14ac:dyDescent="0.2">
      <c r="A53" s="622"/>
      <c r="B53" s="714"/>
      <c r="C53" s="715"/>
      <c r="D53" s="715"/>
      <c r="E53" s="715"/>
      <c r="F53" s="715"/>
      <c r="G53" s="716"/>
      <c r="H53" s="92"/>
      <c r="I53" s="96"/>
      <c r="J53" s="241"/>
      <c r="K53" s="52"/>
      <c r="L53" s="98"/>
      <c r="M53" s="99"/>
      <c r="N53" s="99"/>
      <c r="O53" s="99"/>
      <c r="P53" s="99"/>
      <c r="Q53" s="99"/>
      <c r="R53" s="99"/>
      <c r="S53" s="99"/>
      <c r="T53" s="99"/>
      <c r="U53" s="100"/>
      <c r="W53" s="778"/>
      <c r="X53" s="779"/>
      <c r="AF53" s="58"/>
      <c r="AI53" s="151"/>
    </row>
    <row r="54" spans="1:35" s="56" customFormat="1" ht="15" hidden="1" customHeight="1" x14ac:dyDescent="0.2">
      <c r="A54" s="622"/>
      <c r="B54" s="473"/>
      <c r="C54" s="474"/>
      <c r="D54" s="474"/>
      <c r="E54" s="474"/>
      <c r="F54" s="474"/>
      <c r="G54" s="475"/>
      <c r="H54" s="496"/>
      <c r="I54" s="496"/>
      <c r="J54" s="496"/>
      <c r="K54" s="497"/>
      <c r="L54" s="101"/>
      <c r="M54" s="102"/>
      <c r="N54" s="102"/>
      <c r="O54" s="102"/>
      <c r="P54" s="102"/>
      <c r="Q54" s="102"/>
      <c r="R54" s="102"/>
      <c r="S54" s="102"/>
      <c r="T54" s="103"/>
      <c r="U54" s="104"/>
      <c r="W54" s="778"/>
      <c r="X54" s="779"/>
      <c r="AF54" s="58"/>
      <c r="AI54" s="151"/>
    </row>
    <row r="55" spans="1:35" s="56" customFormat="1" ht="15" hidden="1" customHeight="1" thickBot="1" x14ac:dyDescent="0.25">
      <c r="A55" s="622"/>
      <c r="B55" s="698"/>
      <c r="C55" s="699"/>
      <c r="D55" s="699"/>
      <c r="E55" s="699"/>
      <c r="F55" s="699"/>
      <c r="G55" s="700"/>
      <c r="H55" s="498"/>
      <c r="I55" s="498"/>
      <c r="J55" s="498"/>
      <c r="K55" s="499"/>
      <c r="L55" s="106"/>
      <c r="M55" s="107"/>
      <c r="N55" s="107"/>
      <c r="O55" s="107"/>
      <c r="P55" s="107"/>
      <c r="Q55" s="107"/>
      <c r="R55" s="107"/>
      <c r="S55" s="107"/>
      <c r="T55" s="108"/>
      <c r="U55" s="109"/>
      <c r="W55" s="780"/>
      <c r="X55" s="781"/>
      <c r="AF55" s="58"/>
      <c r="AI55" s="151"/>
    </row>
    <row r="56" spans="1:35" s="56" customFormat="1" ht="15" customHeight="1" thickTop="1" x14ac:dyDescent="0.2">
      <c r="A56" s="622"/>
      <c r="B56" s="493"/>
      <c r="C56" s="494"/>
      <c r="D56" s="494"/>
      <c r="E56" s="494"/>
      <c r="F56" s="494"/>
      <c r="G56" s="495"/>
      <c r="H56" s="110"/>
      <c r="I56" s="111"/>
      <c r="J56" s="748"/>
      <c r="K56" s="751"/>
      <c r="L56" s="538"/>
      <c r="M56" s="501"/>
      <c r="N56" s="500"/>
      <c r="O56" s="501"/>
      <c r="P56" s="500"/>
      <c r="Q56" s="501"/>
      <c r="R56" s="500"/>
      <c r="S56" s="501"/>
      <c r="T56" s="669"/>
      <c r="U56" s="670"/>
      <c r="W56" s="772" t="s">
        <v>143</v>
      </c>
      <c r="X56" s="773"/>
      <c r="AF56" s="58"/>
      <c r="AI56" s="151"/>
    </row>
    <row r="57" spans="1:35" s="56" customFormat="1" ht="15" customHeight="1" x14ac:dyDescent="0.2">
      <c r="A57" s="622"/>
      <c r="B57" s="476"/>
      <c r="C57" s="477"/>
      <c r="D57" s="477"/>
      <c r="E57" s="477"/>
      <c r="F57" s="477"/>
      <c r="G57" s="478"/>
      <c r="H57" s="112"/>
      <c r="I57" s="113"/>
      <c r="J57" s="749"/>
      <c r="K57" s="752"/>
      <c r="L57" s="485"/>
      <c r="M57" s="482"/>
      <c r="N57" s="481"/>
      <c r="O57" s="482"/>
      <c r="P57" s="481"/>
      <c r="Q57" s="482"/>
      <c r="R57" s="481"/>
      <c r="S57" s="482"/>
      <c r="T57" s="606"/>
      <c r="U57" s="607"/>
      <c r="W57" s="774"/>
      <c r="X57" s="775"/>
      <c r="AF57" s="58"/>
      <c r="AI57" s="151"/>
    </row>
    <row r="58" spans="1:35" s="56" customFormat="1" ht="15" customHeight="1" x14ac:dyDescent="0.2">
      <c r="A58" s="622"/>
      <c r="B58" s="476"/>
      <c r="C58" s="477"/>
      <c r="D58" s="477"/>
      <c r="E58" s="477"/>
      <c r="F58" s="477"/>
      <c r="G58" s="478"/>
      <c r="H58" s="112"/>
      <c r="I58" s="113"/>
      <c r="J58" s="749"/>
      <c r="K58" s="752"/>
      <c r="L58" s="542"/>
      <c r="M58" s="543"/>
      <c r="N58" s="544"/>
      <c r="O58" s="543"/>
      <c r="P58" s="544"/>
      <c r="Q58" s="543"/>
      <c r="R58" s="544"/>
      <c r="S58" s="543"/>
      <c r="T58" s="610"/>
      <c r="U58" s="611"/>
      <c r="W58" s="774"/>
      <c r="X58" s="775"/>
      <c r="AF58" s="58"/>
      <c r="AI58" s="151"/>
    </row>
    <row r="59" spans="1:35" s="56" customFormat="1" ht="15" customHeight="1" x14ac:dyDescent="0.2">
      <c r="A59" s="622"/>
      <c r="B59" s="454"/>
      <c r="C59" s="455"/>
      <c r="D59" s="455"/>
      <c r="E59" s="455"/>
      <c r="F59" s="455"/>
      <c r="G59" s="456"/>
      <c r="H59" s="112"/>
      <c r="I59" s="113"/>
      <c r="J59" s="749"/>
      <c r="K59" s="752"/>
      <c r="L59" s="530"/>
      <c r="M59" s="531"/>
      <c r="N59" s="712"/>
      <c r="O59" s="531"/>
      <c r="P59" s="712"/>
      <c r="Q59" s="531"/>
      <c r="R59" s="712"/>
      <c r="S59" s="531"/>
      <c r="T59" s="746"/>
      <c r="U59" s="747"/>
      <c r="W59" s="774"/>
      <c r="X59" s="775"/>
      <c r="AF59" s="58"/>
      <c r="AI59" s="151"/>
    </row>
    <row r="60" spans="1:35" s="56" customFormat="1" ht="15" customHeight="1" x14ac:dyDescent="0.2">
      <c r="A60" s="622"/>
      <c r="B60" s="521"/>
      <c r="C60" s="522"/>
      <c r="D60" s="522"/>
      <c r="E60" s="522"/>
      <c r="F60" s="522"/>
      <c r="G60" s="523"/>
      <c r="H60" s="112"/>
      <c r="I60" s="113"/>
      <c r="J60" s="749"/>
      <c r="K60" s="752"/>
      <c r="L60" s="540"/>
      <c r="M60" s="458"/>
      <c r="N60" s="457"/>
      <c r="O60" s="458"/>
      <c r="P60" s="457"/>
      <c r="Q60" s="458"/>
      <c r="R60" s="457"/>
      <c r="S60" s="458"/>
      <c r="T60" s="608"/>
      <c r="U60" s="609"/>
      <c r="W60" s="774"/>
      <c r="X60" s="775"/>
      <c r="AF60" s="58"/>
      <c r="AI60" s="151"/>
    </row>
    <row r="61" spans="1:35" s="56" customFormat="1" ht="15" customHeight="1" x14ac:dyDescent="0.2">
      <c r="A61" s="622"/>
      <c r="B61" s="357"/>
      <c r="C61" s="358"/>
      <c r="D61" s="358"/>
      <c r="E61" s="358"/>
      <c r="F61" s="358"/>
      <c r="G61" s="541"/>
      <c r="H61" s="114"/>
      <c r="I61" s="113"/>
      <c r="J61" s="749"/>
      <c r="K61" s="752"/>
      <c r="L61" s="483"/>
      <c r="M61" s="484"/>
      <c r="N61" s="713"/>
      <c r="O61" s="484"/>
      <c r="P61" s="713"/>
      <c r="Q61" s="484"/>
      <c r="R61" s="713"/>
      <c r="S61" s="484"/>
      <c r="T61" s="692"/>
      <c r="U61" s="693"/>
      <c r="W61" s="774"/>
      <c r="X61" s="775"/>
      <c r="AF61" s="58"/>
      <c r="AI61" s="151"/>
    </row>
    <row r="62" spans="1:35" s="56" customFormat="1" ht="15" customHeight="1" x14ac:dyDescent="0.2">
      <c r="A62" s="622"/>
      <c r="B62" s="357"/>
      <c r="C62" s="358"/>
      <c r="D62" s="358"/>
      <c r="E62" s="358"/>
      <c r="F62" s="358"/>
      <c r="G62" s="541"/>
      <c r="H62" s="114"/>
      <c r="I62" s="113"/>
      <c r="J62" s="749"/>
      <c r="K62" s="752"/>
      <c r="L62" s="98"/>
      <c r="M62" s="99"/>
      <c r="N62" s="99"/>
      <c r="O62" s="99"/>
      <c r="P62" s="99"/>
      <c r="Q62" s="99"/>
      <c r="R62" s="99"/>
      <c r="S62" s="99"/>
      <c r="T62" s="99"/>
      <c r="U62" s="115"/>
      <c r="V62" s="116"/>
      <c r="W62" s="774"/>
      <c r="X62" s="775"/>
      <c r="AF62" s="58"/>
      <c r="AI62" s="151"/>
    </row>
    <row r="63" spans="1:35" s="56" customFormat="1" ht="15" customHeight="1" x14ac:dyDescent="0.2">
      <c r="A63" s="622"/>
      <c r="B63" s="505"/>
      <c r="C63" s="506"/>
      <c r="D63" s="506"/>
      <c r="E63" s="506"/>
      <c r="F63" s="506"/>
      <c r="G63" s="507"/>
      <c r="H63" s="114"/>
      <c r="I63" s="113"/>
      <c r="J63" s="749"/>
      <c r="K63" s="752"/>
      <c r="L63" s="788"/>
      <c r="M63" s="479"/>
      <c r="N63" s="479"/>
      <c r="O63" s="479"/>
      <c r="P63" s="479"/>
      <c r="Q63" s="479"/>
      <c r="R63" s="479"/>
      <c r="S63" s="479"/>
      <c r="T63" s="479"/>
      <c r="U63" s="759"/>
      <c r="W63" s="774"/>
      <c r="X63" s="775"/>
      <c r="AF63" s="58"/>
      <c r="AI63" s="151"/>
    </row>
    <row r="64" spans="1:35" s="56" customFormat="1" ht="15" customHeight="1" thickBot="1" x14ac:dyDescent="0.25">
      <c r="A64" s="622"/>
      <c r="B64" s="451"/>
      <c r="C64" s="452"/>
      <c r="D64" s="452"/>
      <c r="E64" s="452"/>
      <c r="F64" s="452"/>
      <c r="G64" s="453"/>
      <c r="H64" s="117"/>
      <c r="I64" s="118"/>
      <c r="J64" s="750"/>
      <c r="K64" s="753"/>
      <c r="L64" s="787"/>
      <c r="M64" s="480"/>
      <c r="N64" s="480"/>
      <c r="O64" s="480"/>
      <c r="P64" s="480"/>
      <c r="Q64" s="480"/>
      <c r="R64" s="480"/>
      <c r="S64" s="480"/>
      <c r="T64" s="480"/>
      <c r="U64" s="760"/>
      <c r="W64" s="774"/>
      <c r="X64" s="775"/>
      <c r="Z64" s="56" t="s">
        <v>713</v>
      </c>
      <c r="AF64" s="58"/>
      <c r="AI64" s="151"/>
    </row>
    <row r="65" spans="1:35" s="56" customFormat="1" ht="15" hidden="1" customHeight="1" thickTop="1" x14ac:dyDescent="0.2">
      <c r="A65" s="622"/>
      <c r="B65" s="493"/>
      <c r="C65" s="494"/>
      <c r="D65" s="494"/>
      <c r="E65" s="494"/>
      <c r="F65" s="494"/>
      <c r="G65" s="495"/>
      <c r="H65" s="110"/>
      <c r="I65" s="111"/>
      <c r="J65" s="532"/>
      <c r="K65" s="535"/>
      <c r="L65" s="538"/>
      <c r="M65" s="501"/>
      <c r="N65" s="500"/>
      <c r="O65" s="501"/>
      <c r="P65" s="500"/>
      <c r="Q65" s="501"/>
      <c r="R65" s="500"/>
      <c r="S65" s="501"/>
      <c r="T65" s="669"/>
      <c r="U65" s="670"/>
      <c r="W65" s="768" t="s">
        <v>144</v>
      </c>
      <c r="X65" s="769"/>
      <c r="AF65" s="58"/>
      <c r="AI65" s="151"/>
    </row>
    <row r="66" spans="1:35" s="56" customFormat="1" ht="15" hidden="1" customHeight="1" x14ac:dyDescent="0.2">
      <c r="A66" s="622"/>
      <c r="B66" s="476"/>
      <c r="C66" s="477"/>
      <c r="D66" s="477"/>
      <c r="E66" s="477"/>
      <c r="F66" s="477"/>
      <c r="G66" s="478"/>
      <c r="H66" s="112"/>
      <c r="I66" s="113"/>
      <c r="J66" s="533"/>
      <c r="K66" s="536"/>
      <c r="L66" s="485"/>
      <c r="M66" s="482"/>
      <c r="N66" s="481"/>
      <c r="O66" s="482"/>
      <c r="P66" s="481"/>
      <c r="Q66" s="482"/>
      <c r="R66" s="481"/>
      <c r="S66" s="482"/>
      <c r="T66" s="606"/>
      <c r="U66" s="607"/>
      <c r="W66" s="770"/>
      <c r="X66" s="771"/>
      <c r="AF66" s="58"/>
      <c r="AI66" s="151"/>
    </row>
    <row r="67" spans="1:35" s="56" customFormat="1" ht="15" hidden="1" customHeight="1" x14ac:dyDescent="0.2">
      <c r="A67" s="622"/>
      <c r="B67" s="476"/>
      <c r="C67" s="477"/>
      <c r="D67" s="477"/>
      <c r="E67" s="477"/>
      <c r="F67" s="477"/>
      <c r="G67" s="478"/>
      <c r="H67" s="112"/>
      <c r="I67" s="113"/>
      <c r="J67" s="533"/>
      <c r="K67" s="536"/>
      <c r="L67" s="542"/>
      <c r="M67" s="543"/>
      <c r="N67" s="544"/>
      <c r="O67" s="543"/>
      <c r="P67" s="544"/>
      <c r="Q67" s="543"/>
      <c r="R67" s="544"/>
      <c r="S67" s="543"/>
      <c r="T67" s="610"/>
      <c r="U67" s="611"/>
      <c r="W67" s="770"/>
      <c r="X67" s="771"/>
      <c r="AF67" s="58"/>
      <c r="AI67" s="151"/>
    </row>
    <row r="68" spans="1:35" s="56" customFormat="1" ht="15" hidden="1" customHeight="1" x14ac:dyDescent="0.2">
      <c r="A68" s="622"/>
      <c r="B68" s="454"/>
      <c r="C68" s="455"/>
      <c r="D68" s="455"/>
      <c r="E68" s="455"/>
      <c r="F68" s="455"/>
      <c r="G68" s="456"/>
      <c r="H68" s="112"/>
      <c r="I68" s="113"/>
      <c r="J68" s="533"/>
      <c r="K68" s="536"/>
      <c r="L68" s="432"/>
      <c r="M68" s="433"/>
      <c r="N68" s="434"/>
      <c r="O68" s="433"/>
      <c r="P68" s="434"/>
      <c r="Q68" s="433"/>
      <c r="R68" s="434"/>
      <c r="S68" s="433"/>
      <c r="T68" s="762"/>
      <c r="U68" s="763"/>
      <c r="W68" s="770"/>
      <c r="X68" s="771"/>
      <c r="AF68" s="58"/>
      <c r="AI68" s="151"/>
    </row>
    <row r="69" spans="1:35" s="56" customFormat="1" ht="15" hidden="1" customHeight="1" x14ac:dyDescent="0.2">
      <c r="A69" s="622"/>
      <c r="B69" s="521"/>
      <c r="C69" s="522"/>
      <c r="D69" s="522"/>
      <c r="E69" s="522"/>
      <c r="F69" s="522"/>
      <c r="G69" s="523"/>
      <c r="H69" s="112"/>
      <c r="I69" s="113"/>
      <c r="J69" s="533"/>
      <c r="K69" s="536"/>
      <c r="L69" s="540"/>
      <c r="M69" s="458"/>
      <c r="N69" s="457"/>
      <c r="O69" s="458"/>
      <c r="P69" s="457"/>
      <c r="Q69" s="458"/>
      <c r="R69" s="457"/>
      <c r="S69" s="458"/>
      <c r="T69" s="608"/>
      <c r="U69" s="609"/>
      <c r="W69" s="770"/>
      <c r="X69" s="771"/>
      <c r="AF69" s="58"/>
      <c r="AI69" s="151"/>
    </row>
    <row r="70" spans="1:35" s="56" customFormat="1" ht="15" hidden="1" customHeight="1" x14ac:dyDescent="0.2">
      <c r="A70" s="622"/>
      <c r="B70" s="357"/>
      <c r="C70" s="358"/>
      <c r="D70" s="358"/>
      <c r="E70" s="358"/>
      <c r="F70" s="358"/>
      <c r="G70" s="541"/>
      <c r="H70" s="114"/>
      <c r="I70" s="113"/>
      <c r="J70" s="533"/>
      <c r="K70" s="536"/>
      <c r="L70" s="524"/>
      <c r="M70" s="525"/>
      <c r="N70" s="539"/>
      <c r="O70" s="525"/>
      <c r="P70" s="539"/>
      <c r="Q70" s="525"/>
      <c r="R70" s="539"/>
      <c r="S70" s="525"/>
      <c r="T70" s="610"/>
      <c r="U70" s="611"/>
      <c r="W70" s="770"/>
      <c r="X70" s="771"/>
      <c r="AF70" s="58"/>
      <c r="AI70" s="151"/>
    </row>
    <row r="71" spans="1:35" s="56" customFormat="1" ht="15" hidden="1" customHeight="1" x14ac:dyDescent="0.2">
      <c r="A71" s="622"/>
      <c r="B71" s="505"/>
      <c r="C71" s="506"/>
      <c r="D71" s="506"/>
      <c r="E71" s="506"/>
      <c r="F71" s="506"/>
      <c r="G71" s="507"/>
      <c r="H71" s="114"/>
      <c r="I71" s="113"/>
      <c r="J71" s="533"/>
      <c r="K71" s="536"/>
      <c r="L71" s="98"/>
      <c r="M71" s="99"/>
      <c r="N71" s="99"/>
      <c r="O71" s="99"/>
      <c r="P71" s="99"/>
      <c r="Q71" s="99"/>
      <c r="R71" s="99"/>
      <c r="S71" s="99"/>
      <c r="T71" s="99"/>
      <c r="U71" s="115"/>
      <c r="W71" s="770"/>
      <c r="X71" s="771"/>
      <c r="AF71" s="58"/>
      <c r="AI71" s="151"/>
    </row>
    <row r="72" spans="1:35" s="56" customFormat="1" ht="15" hidden="1" customHeight="1" x14ac:dyDescent="0.2">
      <c r="A72" s="622"/>
      <c r="B72" s="505"/>
      <c r="C72" s="506"/>
      <c r="D72" s="506"/>
      <c r="E72" s="506"/>
      <c r="F72" s="506"/>
      <c r="G72" s="507"/>
      <c r="H72" s="114"/>
      <c r="I72" s="113"/>
      <c r="J72" s="533"/>
      <c r="K72" s="536"/>
      <c r="L72" s="786"/>
      <c r="M72" s="504"/>
      <c r="N72" s="504"/>
      <c r="O72" s="504"/>
      <c r="P72" s="504"/>
      <c r="Q72" s="504"/>
      <c r="R72" s="504"/>
      <c r="S72" s="504"/>
      <c r="T72" s="504"/>
      <c r="U72" s="761"/>
      <c r="W72" s="770"/>
      <c r="X72" s="771"/>
      <c r="AF72" s="58"/>
      <c r="AI72" s="151"/>
    </row>
    <row r="73" spans="1:35" s="56" customFormat="1" ht="15" hidden="1" customHeight="1" thickBot="1" x14ac:dyDescent="0.25">
      <c r="A73" s="622"/>
      <c r="B73" s="451"/>
      <c r="C73" s="452"/>
      <c r="D73" s="452"/>
      <c r="E73" s="452"/>
      <c r="F73" s="452"/>
      <c r="G73" s="453"/>
      <c r="H73" s="117"/>
      <c r="I73" s="118"/>
      <c r="J73" s="534"/>
      <c r="K73" s="537"/>
      <c r="L73" s="787"/>
      <c r="M73" s="480"/>
      <c r="N73" s="480"/>
      <c r="O73" s="480"/>
      <c r="P73" s="480"/>
      <c r="Q73" s="480"/>
      <c r="R73" s="480"/>
      <c r="S73" s="480"/>
      <c r="T73" s="480"/>
      <c r="U73" s="760"/>
      <c r="W73" s="770"/>
      <c r="X73" s="771"/>
      <c r="AF73" s="58"/>
      <c r="AI73" s="151"/>
    </row>
    <row r="74" spans="1:35" s="56" customFormat="1" ht="15" customHeight="1" x14ac:dyDescent="0.2">
      <c r="A74" s="622"/>
      <c r="B74" s="476" t="s">
        <v>7</v>
      </c>
      <c r="C74" s="477"/>
      <c r="D74" s="477"/>
      <c r="E74" s="477"/>
      <c r="F74" s="477"/>
      <c r="G74" s="478"/>
      <c r="H74" s="60"/>
      <c r="I74" s="78"/>
      <c r="J74" s="555"/>
      <c r="K74" s="556"/>
      <c r="L74" s="512" t="s">
        <v>1356</v>
      </c>
      <c r="M74" s="513"/>
      <c r="N74" s="513"/>
      <c r="O74" s="513"/>
      <c r="P74" s="513"/>
      <c r="Q74" s="513"/>
      <c r="R74" s="513"/>
      <c r="S74" s="513"/>
      <c r="T74" s="513"/>
      <c r="U74" s="514"/>
      <c r="AF74" s="58"/>
      <c r="AI74" s="151"/>
    </row>
    <row r="75" spans="1:35" s="56" customFormat="1" ht="15" customHeight="1" x14ac:dyDescent="0.2">
      <c r="A75" s="622"/>
      <c r="B75" s="568"/>
      <c r="C75" s="569"/>
      <c r="D75" s="569"/>
      <c r="E75" s="569"/>
      <c r="F75" s="569"/>
      <c r="G75" s="570"/>
      <c r="H75" s="66"/>
      <c r="I75" s="119"/>
      <c r="J75" s="557"/>
      <c r="K75" s="558"/>
      <c r="L75" s="515" t="s">
        <v>1343</v>
      </c>
      <c r="M75" s="516"/>
      <c r="N75" s="516"/>
      <c r="O75" s="516"/>
      <c r="P75" s="516"/>
      <c r="Q75" s="516"/>
      <c r="R75" s="516"/>
      <c r="S75" s="516"/>
      <c r="T75" s="516"/>
      <c r="U75" s="517"/>
      <c r="AF75" s="58"/>
      <c r="AI75" s="151"/>
    </row>
    <row r="76" spans="1:35" s="56" customFormat="1" ht="17.25" customHeight="1" thickBot="1" x14ac:dyDescent="0.25">
      <c r="A76" s="622"/>
      <c r="B76" s="571" t="s">
        <v>0</v>
      </c>
      <c r="C76" s="572"/>
      <c r="D76" s="572"/>
      <c r="E76" s="572"/>
      <c r="F76" s="572"/>
      <c r="G76" s="573"/>
      <c r="H76" s="75"/>
      <c r="I76" s="76" t="s">
        <v>13</v>
      </c>
      <c r="J76" s="553"/>
      <c r="K76" s="554"/>
      <c r="L76" s="680"/>
      <c r="M76" s="681"/>
      <c r="N76" s="681"/>
      <c r="O76" s="681"/>
      <c r="P76" s="681"/>
      <c r="Q76" s="681"/>
      <c r="R76" s="681"/>
      <c r="S76" s="681"/>
      <c r="T76" s="681"/>
      <c r="U76" s="682"/>
      <c r="AF76" s="58"/>
      <c r="AI76" s="151"/>
    </row>
    <row r="77" spans="1:35" s="56" customFormat="1" ht="15.95" customHeight="1" x14ac:dyDescent="0.2">
      <c r="A77" s="624" t="s">
        <v>3</v>
      </c>
      <c r="B77" s="445"/>
      <c r="C77" s="446"/>
      <c r="D77" s="446"/>
      <c r="E77" s="446"/>
      <c r="F77" s="446"/>
      <c r="G77" s="447"/>
      <c r="H77" s="54"/>
      <c r="I77" s="55" t="str">
        <f>IF(B77&lt;&gt;0,"XPL000 ","")</f>
        <v/>
      </c>
      <c r="J77" s="508"/>
      <c r="K77" s="509"/>
      <c r="L77" s="691"/>
      <c r="M77" s="689"/>
      <c r="N77" s="686"/>
      <c r="O77" s="689"/>
      <c r="P77" s="686"/>
      <c r="Q77" s="689"/>
      <c r="R77" s="686"/>
      <c r="S77" s="689"/>
      <c r="T77" s="686"/>
      <c r="U77" s="687"/>
      <c r="AF77" s="58"/>
      <c r="AI77" s="151"/>
    </row>
    <row r="78" spans="1:35" s="56" customFormat="1" ht="15.95" customHeight="1" thickBot="1" x14ac:dyDescent="0.25">
      <c r="A78" s="625"/>
      <c r="B78" s="565"/>
      <c r="C78" s="566"/>
      <c r="D78" s="566"/>
      <c r="E78" s="566"/>
      <c r="F78" s="566"/>
      <c r="G78" s="567"/>
      <c r="H78" s="75"/>
      <c r="I78" s="76"/>
      <c r="J78" s="510"/>
      <c r="K78" s="511"/>
      <c r="L78" s="690"/>
      <c r="M78" s="688"/>
      <c r="N78" s="443"/>
      <c r="O78" s="688"/>
      <c r="P78" s="443"/>
      <c r="Q78" s="688"/>
      <c r="R78" s="443"/>
      <c r="S78" s="688"/>
      <c r="T78" s="443"/>
      <c r="U78" s="444"/>
      <c r="AF78" s="58"/>
      <c r="AI78" s="151"/>
    </row>
    <row r="79" spans="1:35" s="56" customFormat="1" ht="15.95" customHeight="1" x14ac:dyDescent="0.2">
      <c r="A79" s="624" t="s">
        <v>791</v>
      </c>
      <c r="B79" s="435" t="s">
        <v>746</v>
      </c>
      <c r="C79" s="436"/>
      <c r="D79" s="436"/>
      <c r="E79" s="436"/>
      <c r="F79" s="436"/>
      <c r="G79" s="437"/>
      <c r="H79" s="110" t="s">
        <v>745</v>
      </c>
      <c r="I79" s="219" t="s">
        <v>674</v>
      </c>
      <c r="J79" s="248"/>
      <c r="K79" s="249"/>
      <c r="L79" s="438" t="s">
        <v>1342</v>
      </c>
      <c r="M79" s="439"/>
      <c r="N79" s="440"/>
      <c r="O79" s="441"/>
      <c r="P79" s="440"/>
      <c r="Q79" s="441"/>
      <c r="R79" s="440"/>
      <c r="S79" s="441"/>
      <c r="T79" s="440"/>
      <c r="U79" s="442"/>
      <c r="W79" s="764" t="s">
        <v>797</v>
      </c>
      <c r="X79" s="765"/>
      <c r="AF79" s="58"/>
      <c r="AI79" s="151"/>
    </row>
    <row r="80" spans="1:35" s="56" customFormat="1" ht="15.95" customHeight="1" thickBot="1" x14ac:dyDescent="0.25">
      <c r="A80" s="782"/>
      <c r="B80" s="518" t="s">
        <v>754</v>
      </c>
      <c r="C80" s="519"/>
      <c r="D80" s="519"/>
      <c r="E80" s="519"/>
      <c r="F80" s="519"/>
      <c r="G80" s="520"/>
      <c r="H80" s="123"/>
      <c r="I80" s="124"/>
      <c r="J80" s="250"/>
      <c r="K80" s="251"/>
      <c r="L80" s="160" t="s">
        <v>293</v>
      </c>
      <c r="M80" s="161" t="s">
        <v>361</v>
      </c>
      <c r="N80" s="161" t="s">
        <v>299</v>
      </c>
      <c r="O80" s="161" t="s">
        <v>305</v>
      </c>
      <c r="P80" s="161" t="s">
        <v>224</v>
      </c>
      <c r="Q80" s="161"/>
      <c r="R80" s="161"/>
      <c r="S80" s="161"/>
      <c r="T80" s="161"/>
      <c r="U80" s="180" t="s">
        <v>25</v>
      </c>
      <c r="W80" s="766"/>
      <c r="X80" s="767"/>
      <c r="AF80" s="58"/>
      <c r="AI80" s="151"/>
    </row>
    <row r="81" spans="1:35" s="56" customFormat="1" ht="15.95" customHeight="1" thickBot="1" x14ac:dyDescent="0.25">
      <c r="A81" s="782"/>
      <c r="B81" s="459"/>
      <c r="C81" s="460"/>
      <c r="D81" s="460"/>
      <c r="E81" s="460"/>
      <c r="F81" s="460"/>
      <c r="G81" s="461"/>
      <c r="H81" s="128"/>
      <c r="I81" s="129"/>
      <c r="J81" s="252"/>
      <c r="K81" s="253"/>
      <c r="L81" s="130" t="s">
        <v>753</v>
      </c>
      <c r="M81" s="131" t="s">
        <v>753</v>
      </c>
      <c r="N81" s="131" t="s">
        <v>753</v>
      </c>
      <c r="O81" s="131" t="s">
        <v>753</v>
      </c>
      <c r="P81" s="131" t="s">
        <v>753</v>
      </c>
      <c r="Q81" s="214"/>
      <c r="R81" s="215"/>
      <c r="S81" s="215"/>
      <c r="T81" s="215"/>
      <c r="U81" s="132" t="s">
        <v>125</v>
      </c>
      <c r="W81" s="754" t="s">
        <v>714</v>
      </c>
      <c r="X81" s="754"/>
      <c r="AF81" s="58"/>
      <c r="AI81" s="151"/>
    </row>
    <row r="82" spans="1:35" s="56" customFormat="1" ht="15" customHeight="1" x14ac:dyDescent="0.2">
      <c r="A82" s="782"/>
      <c r="B82" s="518"/>
      <c r="C82" s="519"/>
      <c r="D82" s="519"/>
      <c r="E82" s="519"/>
      <c r="F82" s="519"/>
      <c r="G82" s="520"/>
      <c r="H82" s="123"/>
      <c r="I82" s="124"/>
      <c r="J82" s="156"/>
      <c r="K82" s="52"/>
      <c r="L82" s="125" t="s">
        <v>21</v>
      </c>
      <c r="M82" s="126" t="s">
        <v>753</v>
      </c>
      <c r="N82" s="126" t="s">
        <v>760</v>
      </c>
      <c r="O82" s="126" t="s">
        <v>776</v>
      </c>
      <c r="P82" s="126" t="s">
        <v>761</v>
      </c>
      <c r="Q82" s="126" t="s">
        <v>762</v>
      </c>
      <c r="R82" s="126" t="s">
        <v>1315</v>
      </c>
      <c r="S82" s="126" t="s">
        <v>1316</v>
      </c>
      <c r="T82" s="126" t="s">
        <v>1317</v>
      </c>
      <c r="U82" s="127" t="s">
        <v>25</v>
      </c>
      <c r="W82" s="754"/>
      <c r="X82" s="754"/>
      <c r="AF82" s="58"/>
      <c r="AI82" s="151"/>
    </row>
    <row r="83" spans="1:35" s="56" customFormat="1" ht="15" customHeight="1" thickBot="1" x14ac:dyDescent="0.25">
      <c r="A83" s="782"/>
      <c r="B83" s="459"/>
      <c r="C83" s="460"/>
      <c r="D83" s="460"/>
      <c r="E83" s="460"/>
      <c r="F83" s="460"/>
      <c r="G83" s="461"/>
      <c r="H83" s="128"/>
      <c r="I83" s="129"/>
      <c r="J83" s="242"/>
      <c r="K83" s="243"/>
      <c r="L83" s="130"/>
      <c r="M83" s="131"/>
      <c r="N83" s="131"/>
      <c r="O83" s="131"/>
      <c r="P83" s="131"/>
      <c r="Q83" s="131"/>
      <c r="R83" s="131"/>
      <c r="S83" s="131"/>
      <c r="T83" s="131"/>
      <c r="U83" s="132" t="s">
        <v>125</v>
      </c>
      <c r="W83" s="754"/>
      <c r="X83" s="754"/>
      <c r="Z83" s="56" t="s">
        <v>812</v>
      </c>
      <c r="AF83" s="58"/>
      <c r="AI83" s="151"/>
    </row>
    <row r="84" spans="1:35" s="56" customFormat="1" ht="15" hidden="1" customHeight="1" thickBot="1" x14ac:dyDescent="0.25">
      <c r="A84" s="782"/>
      <c r="B84" s="577"/>
      <c r="C84" s="578"/>
      <c r="D84" s="578"/>
      <c r="E84" s="578"/>
      <c r="F84" s="578"/>
      <c r="G84" s="579"/>
      <c r="H84" s="123"/>
      <c r="I84" s="124"/>
      <c r="J84" s="156"/>
      <c r="K84" s="52"/>
      <c r="L84" s="665"/>
      <c r="M84" s="503"/>
      <c r="N84" s="502"/>
      <c r="O84" s="503"/>
      <c r="P84" s="502"/>
      <c r="Q84" s="503"/>
      <c r="R84" s="502"/>
      <c r="S84" s="503"/>
      <c r="T84" s="502"/>
      <c r="U84" s="785"/>
      <c r="W84" s="754"/>
      <c r="X84" s="754"/>
      <c r="AF84" s="58"/>
      <c r="AI84" s="151"/>
    </row>
    <row r="85" spans="1:35" s="56" customFormat="1" ht="15" hidden="1" customHeight="1" x14ac:dyDescent="0.2">
      <c r="A85" s="782"/>
      <c r="B85" s="518"/>
      <c r="C85" s="519"/>
      <c r="D85" s="519"/>
      <c r="E85" s="519"/>
      <c r="F85" s="519"/>
      <c r="G85" s="520"/>
      <c r="H85" s="123"/>
      <c r="I85" s="124"/>
      <c r="J85" s="156"/>
      <c r="K85" s="52"/>
      <c r="L85" s="125" t="s">
        <v>28</v>
      </c>
      <c r="M85" s="126" t="s">
        <v>24</v>
      </c>
      <c r="N85" s="126" t="s">
        <v>29</v>
      </c>
      <c r="O85" s="126" t="s">
        <v>30</v>
      </c>
      <c r="P85" s="126" t="s">
        <v>31</v>
      </c>
      <c r="Q85" s="126" t="s">
        <v>32</v>
      </c>
      <c r="R85" s="126" t="s">
        <v>33</v>
      </c>
      <c r="S85" s="126" t="s">
        <v>34</v>
      </c>
      <c r="T85" s="126" t="s">
        <v>35</v>
      </c>
      <c r="U85" s="127" t="s">
        <v>25</v>
      </c>
      <c r="W85" s="754"/>
      <c r="X85" s="754"/>
      <c r="AF85" s="58"/>
      <c r="AI85" s="151"/>
    </row>
    <row r="86" spans="1:35" s="56" customFormat="1" ht="15" hidden="1" customHeight="1" thickBot="1" x14ac:dyDescent="0.25">
      <c r="A86" s="782"/>
      <c r="B86" s="459"/>
      <c r="C86" s="460"/>
      <c r="D86" s="460"/>
      <c r="E86" s="460"/>
      <c r="F86" s="460"/>
      <c r="G86" s="461"/>
      <c r="H86" s="128"/>
      <c r="I86" s="129"/>
      <c r="J86" s="242"/>
      <c r="K86" s="243"/>
      <c r="L86" s="130"/>
      <c r="M86" s="131"/>
      <c r="N86" s="131"/>
      <c r="O86" s="131"/>
      <c r="P86" s="131"/>
      <c r="Q86" s="131"/>
      <c r="R86" s="131"/>
      <c r="S86" s="131"/>
      <c r="T86" s="131"/>
      <c r="U86" s="132" t="s">
        <v>125</v>
      </c>
      <c r="W86" s="754"/>
      <c r="X86" s="754"/>
      <c r="AF86" s="58"/>
      <c r="AI86" s="151"/>
    </row>
    <row r="87" spans="1:35" s="56" customFormat="1" ht="15" hidden="1" customHeight="1" thickBot="1" x14ac:dyDescent="0.25">
      <c r="A87" s="782"/>
      <c r="B87" s="633"/>
      <c r="C87" s="634"/>
      <c r="D87" s="634"/>
      <c r="E87" s="634"/>
      <c r="F87" s="634"/>
      <c r="G87" s="635"/>
      <c r="H87" s="121"/>
      <c r="I87" s="122"/>
      <c r="J87" s="156"/>
      <c r="K87" s="52"/>
      <c r="L87" s="665"/>
      <c r="M87" s="503"/>
      <c r="N87" s="502"/>
      <c r="O87" s="503"/>
      <c r="P87" s="502"/>
      <c r="Q87" s="503"/>
      <c r="R87" s="502"/>
      <c r="S87" s="503"/>
      <c r="T87" s="502"/>
      <c r="U87" s="785"/>
      <c r="W87" s="754"/>
      <c r="X87" s="754"/>
      <c r="AF87" s="58"/>
      <c r="AI87" s="151"/>
    </row>
    <row r="88" spans="1:35" s="56" customFormat="1" ht="15" hidden="1" customHeight="1" x14ac:dyDescent="0.2">
      <c r="A88" s="782"/>
      <c r="B88" s="518"/>
      <c r="C88" s="519"/>
      <c r="D88" s="519"/>
      <c r="E88" s="519"/>
      <c r="F88" s="519"/>
      <c r="G88" s="520"/>
      <c r="H88" s="123"/>
      <c r="I88" s="124"/>
      <c r="J88" s="156"/>
      <c r="K88" s="52"/>
      <c r="L88" s="125" t="s">
        <v>28</v>
      </c>
      <c r="M88" s="126" t="s">
        <v>24</v>
      </c>
      <c r="N88" s="126" t="s">
        <v>29</v>
      </c>
      <c r="O88" s="126" t="s">
        <v>30</v>
      </c>
      <c r="P88" s="126" t="s">
        <v>31</v>
      </c>
      <c r="Q88" s="126" t="s">
        <v>32</v>
      </c>
      <c r="R88" s="126" t="s">
        <v>33</v>
      </c>
      <c r="S88" s="126" t="s">
        <v>34</v>
      </c>
      <c r="T88" s="126" t="s">
        <v>35</v>
      </c>
      <c r="U88" s="127" t="s">
        <v>25</v>
      </c>
      <c r="W88" s="754"/>
      <c r="X88" s="754"/>
      <c r="AF88" s="58"/>
      <c r="AI88" s="151"/>
    </row>
    <row r="89" spans="1:35" s="56" customFormat="1" ht="15" hidden="1" customHeight="1" thickBot="1" x14ac:dyDescent="0.25">
      <c r="A89" s="782"/>
      <c r="B89" s="580"/>
      <c r="C89" s="581"/>
      <c r="D89" s="581"/>
      <c r="E89" s="581"/>
      <c r="F89" s="581"/>
      <c r="G89" s="582"/>
      <c r="H89" s="123"/>
      <c r="I89" s="124"/>
      <c r="J89" s="156"/>
      <c r="K89" s="52"/>
      <c r="L89" s="130"/>
      <c r="M89" s="131"/>
      <c r="N89" s="131"/>
      <c r="O89" s="131"/>
      <c r="P89" s="131"/>
      <c r="Q89" s="131"/>
      <c r="R89" s="131"/>
      <c r="S89" s="131"/>
      <c r="T89" s="131"/>
      <c r="U89" s="132" t="s">
        <v>125</v>
      </c>
      <c r="W89" s="754"/>
      <c r="X89" s="754"/>
      <c r="AF89" s="58"/>
      <c r="AI89" s="151"/>
    </row>
    <row r="90" spans="1:35" s="56" customFormat="1" ht="15" customHeight="1" x14ac:dyDescent="0.2">
      <c r="A90" s="782"/>
      <c r="B90" s="559"/>
      <c r="C90" s="560"/>
      <c r="D90" s="560"/>
      <c r="E90" s="560"/>
      <c r="F90" s="560"/>
      <c r="G90" s="561"/>
      <c r="H90" s="133"/>
      <c r="I90" s="134"/>
      <c r="J90" s="244"/>
      <c r="K90" s="245"/>
      <c r="L90" s="755"/>
      <c r="M90" s="756"/>
      <c r="N90" s="756"/>
      <c r="O90" s="756"/>
      <c r="P90" s="756"/>
      <c r="Q90" s="756"/>
      <c r="R90" s="756"/>
      <c r="S90" s="756"/>
      <c r="T90" s="756"/>
      <c r="U90" s="757"/>
      <c r="W90" s="754"/>
      <c r="X90" s="754"/>
      <c r="AF90" s="58"/>
      <c r="AI90" s="151"/>
    </row>
    <row r="91" spans="1:35" s="56" customFormat="1" ht="15" customHeight="1" x14ac:dyDescent="0.2">
      <c r="A91" s="782"/>
      <c r="B91" s="562"/>
      <c r="C91" s="563"/>
      <c r="D91" s="563"/>
      <c r="E91" s="563"/>
      <c r="F91" s="563"/>
      <c r="G91" s="564"/>
      <c r="H91" s="66"/>
      <c r="I91" s="135"/>
      <c r="J91" s="246"/>
      <c r="K91" s="247"/>
      <c r="L91" s="662"/>
      <c r="M91" s="663"/>
      <c r="N91" s="663"/>
      <c r="O91" s="663"/>
      <c r="P91" s="663"/>
      <c r="Q91" s="663"/>
      <c r="R91" s="663"/>
      <c r="S91" s="663"/>
      <c r="T91" s="663"/>
      <c r="U91" s="664"/>
      <c r="W91" s="754"/>
      <c r="X91" s="754"/>
      <c r="AF91" s="58"/>
      <c r="AI91" s="151"/>
    </row>
    <row r="92" spans="1:35" s="56" customFormat="1" ht="15" customHeight="1" x14ac:dyDescent="0.2">
      <c r="A92" s="782"/>
      <c r="B92" s="627"/>
      <c r="C92" s="628"/>
      <c r="D92" s="628"/>
      <c r="E92" s="628"/>
      <c r="F92" s="628"/>
      <c r="G92" s="629"/>
      <c r="H92" s="136"/>
      <c r="I92" s="137"/>
      <c r="J92" s="246"/>
      <c r="K92" s="247"/>
      <c r="L92" s="662"/>
      <c r="M92" s="663"/>
      <c r="N92" s="663"/>
      <c r="O92" s="663"/>
      <c r="P92" s="663"/>
      <c r="Q92" s="663"/>
      <c r="R92" s="663"/>
      <c r="S92" s="663"/>
      <c r="T92" s="663"/>
      <c r="U92" s="664"/>
      <c r="W92" s="754"/>
      <c r="X92" s="754"/>
      <c r="AF92" s="58"/>
      <c r="AI92" s="151"/>
    </row>
    <row r="93" spans="1:35" s="56" customFormat="1" ht="15" customHeight="1" thickBot="1" x14ac:dyDescent="0.25">
      <c r="A93" s="625"/>
      <c r="B93" s="448"/>
      <c r="C93" s="449"/>
      <c r="D93" s="449"/>
      <c r="E93" s="449"/>
      <c r="F93" s="449"/>
      <c r="G93" s="450"/>
      <c r="H93" s="75"/>
      <c r="I93" s="76"/>
      <c r="J93" s="238"/>
      <c r="K93" s="239"/>
      <c r="L93" s="551"/>
      <c r="M93" s="758"/>
      <c r="N93" s="758"/>
      <c r="O93" s="758"/>
      <c r="P93" s="758"/>
      <c r="Q93" s="758"/>
      <c r="R93" s="758"/>
      <c r="S93" s="758"/>
      <c r="T93" s="758"/>
      <c r="U93" s="552"/>
      <c r="W93" s="754"/>
      <c r="X93" s="754"/>
      <c r="AF93" s="58"/>
      <c r="AI93" s="151"/>
    </row>
    <row r="94" spans="1:35" s="56" customFormat="1" ht="15" customHeight="1" x14ac:dyDescent="0.2">
      <c r="A94" s="624" t="s">
        <v>1</v>
      </c>
      <c r="B94" s="630"/>
      <c r="C94" s="631"/>
      <c r="D94" s="631"/>
      <c r="E94" s="631"/>
      <c r="F94" s="631"/>
      <c r="G94" s="632"/>
      <c r="H94" s="66"/>
      <c r="I94" s="138" t="str">
        <f>IFERROR(VLOOKUP(B94,AUX!E40:F67,2,0),"")</f>
        <v/>
      </c>
      <c r="J94" s="242"/>
      <c r="K94" s="243"/>
      <c r="L94" s="683"/>
      <c r="M94" s="684"/>
      <c r="N94" s="684"/>
      <c r="O94" s="684"/>
      <c r="P94" s="684"/>
      <c r="Q94" s="684"/>
      <c r="R94" s="684"/>
      <c r="S94" s="684"/>
      <c r="T94" s="684"/>
      <c r="U94" s="685"/>
      <c r="W94" s="285" t="s">
        <v>806</v>
      </c>
      <c r="AF94" s="58"/>
      <c r="AI94" s="151"/>
    </row>
    <row r="95" spans="1:35" s="56" customFormat="1" ht="15" customHeight="1" x14ac:dyDescent="0.2">
      <c r="A95" s="626"/>
      <c r="B95" s="462"/>
      <c r="C95" s="463"/>
      <c r="D95" s="463"/>
      <c r="E95" s="463"/>
      <c r="F95" s="463"/>
      <c r="G95" s="464"/>
      <c r="H95" s="139"/>
      <c r="I95" s="140" t="str">
        <f>IFERROR(VLOOKUP(B95,AUX!E40:F67,2,0),"")</f>
        <v/>
      </c>
      <c r="J95" s="246"/>
      <c r="K95" s="247"/>
      <c r="L95" s="674"/>
      <c r="M95" s="675"/>
      <c r="N95" s="675"/>
      <c r="O95" s="675"/>
      <c r="P95" s="675"/>
      <c r="Q95" s="675"/>
      <c r="R95" s="675"/>
      <c r="S95" s="675"/>
      <c r="T95" s="675"/>
      <c r="U95" s="676"/>
      <c r="W95" s="286" t="s">
        <v>807</v>
      </c>
      <c r="AF95" s="58"/>
      <c r="AI95" s="151"/>
    </row>
    <row r="96" spans="1:35" s="56" customFormat="1" ht="15" customHeight="1" x14ac:dyDescent="0.2">
      <c r="A96" s="626"/>
      <c r="B96" s="462"/>
      <c r="C96" s="463"/>
      <c r="D96" s="463"/>
      <c r="E96" s="463"/>
      <c r="F96" s="463"/>
      <c r="G96" s="464"/>
      <c r="H96" s="139"/>
      <c r="I96" s="140" t="str">
        <f>IFERROR(VLOOKUP(B96,AUX!E40:F67,2,0),"")</f>
        <v/>
      </c>
      <c r="J96" s="246"/>
      <c r="K96" s="247"/>
      <c r="L96" s="662"/>
      <c r="M96" s="663"/>
      <c r="N96" s="663"/>
      <c r="O96" s="663"/>
      <c r="P96" s="663"/>
      <c r="Q96" s="663"/>
      <c r="R96" s="663"/>
      <c r="S96" s="663"/>
      <c r="T96" s="663"/>
      <c r="U96" s="664"/>
      <c r="W96" s="287" t="s">
        <v>808</v>
      </c>
      <c r="AF96" s="58"/>
      <c r="AI96" s="151"/>
    </row>
    <row r="97" spans="1:35" s="56" customFormat="1" ht="15" customHeight="1" x14ac:dyDescent="0.2">
      <c r="A97" s="626"/>
      <c r="B97" s="462"/>
      <c r="C97" s="463"/>
      <c r="D97" s="463"/>
      <c r="E97" s="463"/>
      <c r="F97" s="463"/>
      <c r="G97" s="464"/>
      <c r="H97" s="139"/>
      <c r="I97" s="140"/>
      <c r="J97" s="246"/>
      <c r="K97" s="247"/>
      <c r="L97" s="662"/>
      <c r="M97" s="663"/>
      <c r="N97" s="663"/>
      <c r="O97" s="663"/>
      <c r="P97" s="663"/>
      <c r="Q97" s="663"/>
      <c r="R97" s="663"/>
      <c r="S97" s="663"/>
      <c r="T97" s="663"/>
      <c r="U97" s="664"/>
      <c r="W97" s="288"/>
      <c r="AF97" s="58"/>
      <c r="AI97" s="151"/>
    </row>
    <row r="98" spans="1:35" s="56" customFormat="1" ht="15" customHeight="1" x14ac:dyDescent="0.2">
      <c r="A98" s="626"/>
      <c r="B98" s="462"/>
      <c r="C98" s="463"/>
      <c r="D98" s="463"/>
      <c r="E98" s="463"/>
      <c r="F98" s="463"/>
      <c r="G98" s="464"/>
      <c r="H98" s="139"/>
      <c r="I98" s="140"/>
      <c r="J98" s="246"/>
      <c r="K98" s="247"/>
      <c r="L98" s="674"/>
      <c r="M98" s="675"/>
      <c r="N98" s="675"/>
      <c r="O98" s="675"/>
      <c r="P98" s="675"/>
      <c r="Q98" s="675"/>
      <c r="R98" s="675"/>
      <c r="S98" s="675"/>
      <c r="T98" s="675"/>
      <c r="U98" s="676"/>
      <c r="W98" s="289"/>
      <c r="AF98" s="58"/>
      <c r="AI98" s="151"/>
    </row>
    <row r="99" spans="1:35" s="56" customFormat="1" ht="15" customHeight="1" x14ac:dyDescent="0.2">
      <c r="A99" s="626"/>
      <c r="B99" s="462"/>
      <c r="C99" s="463"/>
      <c r="D99" s="463"/>
      <c r="E99" s="463"/>
      <c r="F99" s="463"/>
      <c r="G99" s="464"/>
      <c r="H99" s="66"/>
      <c r="I99" s="67" t="str">
        <f>IFERROR(VLOOKUP(B99,AUX!E68:F82,2,0),"")</f>
        <v/>
      </c>
      <c r="J99" s="156"/>
      <c r="K99" s="52"/>
      <c r="L99" s="674"/>
      <c r="M99" s="675"/>
      <c r="N99" s="675"/>
      <c r="O99" s="675"/>
      <c r="P99" s="675"/>
      <c r="Q99" s="675"/>
      <c r="R99" s="675"/>
      <c r="S99" s="675"/>
      <c r="T99" s="675"/>
      <c r="U99" s="676"/>
      <c r="W99" s="291" t="s">
        <v>805</v>
      </c>
      <c r="AF99" s="58"/>
      <c r="AI99" s="151"/>
    </row>
    <row r="100" spans="1:35" s="56" customFormat="1" ht="15" customHeight="1" x14ac:dyDescent="0.2">
      <c r="A100" s="626"/>
      <c r="B100" s="462"/>
      <c r="C100" s="463"/>
      <c r="D100" s="463"/>
      <c r="E100" s="463"/>
      <c r="F100" s="463"/>
      <c r="G100" s="464"/>
      <c r="H100" s="139"/>
      <c r="I100" s="140" t="str">
        <f>IFERROR(VLOOKUP(B100,AUX!E68:F82,2,0),"")</f>
        <v/>
      </c>
      <c r="J100" s="236"/>
      <c r="K100" s="237"/>
      <c r="L100" s="674"/>
      <c r="M100" s="675"/>
      <c r="N100" s="675"/>
      <c r="O100" s="675"/>
      <c r="P100" s="675"/>
      <c r="Q100" s="675"/>
      <c r="R100" s="675"/>
      <c r="S100" s="675"/>
      <c r="T100" s="675"/>
      <c r="U100" s="676"/>
      <c r="W100" s="290" t="s">
        <v>804</v>
      </c>
      <c r="AF100" s="58"/>
      <c r="AI100" s="151"/>
    </row>
    <row r="101" spans="1:35" s="56" customFormat="1" ht="15" customHeight="1" x14ac:dyDescent="0.2">
      <c r="A101" s="626"/>
      <c r="B101" s="462"/>
      <c r="C101" s="463"/>
      <c r="D101" s="463"/>
      <c r="E101" s="463"/>
      <c r="F101" s="463"/>
      <c r="G101" s="464"/>
      <c r="H101" s="139"/>
      <c r="I101" s="140" t="str">
        <f>IFERROR(VLOOKUP(B101,AUX!E83:F98,2,0),"")</f>
        <v/>
      </c>
      <c r="J101" s="236"/>
      <c r="K101" s="237"/>
      <c r="L101" s="662"/>
      <c r="M101" s="663"/>
      <c r="N101" s="663"/>
      <c r="O101" s="663"/>
      <c r="P101" s="663"/>
      <c r="Q101" s="663"/>
      <c r="R101" s="663"/>
      <c r="S101" s="663"/>
      <c r="T101" s="663"/>
      <c r="U101" s="664"/>
      <c r="W101" s="292" t="s">
        <v>803</v>
      </c>
      <c r="AF101" s="58"/>
      <c r="AI101" s="151"/>
    </row>
    <row r="102" spans="1:35" s="56" customFormat="1" ht="15" customHeight="1" x14ac:dyDescent="0.2">
      <c r="A102" s="626"/>
      <c r="B102" s="574" t="str">
        <f>IF(B22&lt;&gt;"","STICKER PLANCHA","")</f>
        <v>STICKER PLANCHA</v>
      </c>
      <c r="C102" s="575"/>
      <c r="D102" s="575"/>
      <c r="E102" s="575"/>
      <c r="F102" s="575"/>
      <c r="G102" s="576"/>
      <c r="H102" s="139"/>
      <c r="I102" s="140" t="str">
        <f>IF(B102&lt;&gt;"","XEV001","")</f>
        <v>XEV001</v>
      </c>
      <c r="J102" s="236"/>
      <c r="K102" s="237"/>
      <c r="L102" s="674"/>
      <c r="M102" s="675"/>
      <c r="N102" s="675"/>
      <c r="O102" s="675"/>
      <c r="P102" s="675"/>
      <c r="Q102" s="675"/>
      <c r="R102" s="675"/>
      <c r="S102" s="675"/>
      <c r="T102" s="675"/>
      <c r="U102" s="676"/>
      <c r="W102" s="431" t="s">
        <v>801</v>
      </c>
      <c r="X102" s="431"/>
      <c r="Y102" s="431"/>
      <c r="Z102" s="431"/>
      <c r="AA102" s="431"/>
      <c r="AB102" s="431"/>
      <c r="AF102" s="58"/>
      <c r="AI102" s="151"/>
    </row>
    <row r="103" spans="1:35" s="56" customFormat="1" ht="15" customHeight="1" thickBot="1" x14ac:dyDescent="0.25">
      <c r="A103" s="626"/>
      <c r="B103" s="548"/>
      <c r="C103" s="549"/>
      <c r="D103" s="549"/>
      <c r="E103" s="549"/>
      <c r="F103" s="549"/>
      <c r="G103" s="550"/>
      <c r="H103" s="63"/>
      <c r="I103" s="68" t="str">
        <f>IFERROR(VLOOKUP(B103,AUX!E99:F116,2,0),"")</f>
        <v/>
      </c>
      <c r="J103" s="236"/>
      <c r="K103" s="237"/>
      <c r="L103" s="671"/>
      <c r="M103" s="672"/>
      <c r="N103" s="672"/>
      <c r="O103" s="672"/>
      <c r="P103" s="672"/>
      <c r="Q103" s="672"/>
      <c r="R103" s="672"/>
      <c r="S103" s="672"/>
      <c r="T103" s="672"/>
      <c r="U103" s="673"/>
      <c r="W103" s="430" t="s">
        <v>802</v>
      </c>
      <c r="X103" s="430"/>
      <c r="Y103" s="430"/>
      <c r="Z103" s="430"/>
      <c r="AA103" s="430"/>
      <c r="AB103" s="430"/>
      <c r="AF103" s="58"/>
      <c r="AI103" s="151"/>
    </row>
    <row r="104" spans="1:35" ht="15.95" customHeight="1" x14ac:dyDescent="0.2">
      <c r="A104" s="617" t="s">
        <v>8</v>
      </c>
      <c r="B104" s="545" t="str">
        <f>IFERROR(IF(B22="ESTAMPA","ILUSTRADOR",IF(B22="BORDADO","ILUSTRADOR","")),"")</f>
        <v>ILUSTRADOR</v>
      </c>
      <c r="C104" s="546"/>
      <c r="D104" s="546"/>
      <c r="E104" s="546"/>
      <c r="F104" s="546"/>
      <c r="G104" s="547"/>
      <c r="H104" s="133"/>
      <c r="I104" s="141" t="str">
        <f>IF(B104="ILUSTRADOR","XPE700","")</f>
        <v>XPE700</v>
      </c>
      <c r="J104" s="244"/>
      <c r="K104" s="245"/>
      <c r="L104" s="677"/>
      <c r="M104" s="678"/>
      <c r="N104" s="678"/>
      <c r="O104" s="678"/>
      <c r="P104" s="678"/>
      <c r="Q104" s="678"/>
      <c r="R104" s="678"/>
      <c r="S104" s="678"/>
      <c r="T104" s="678"/>
      <c r="U104" s="679"/>
      <c r="W104" s="429" t="s">
        <v>809</v>
      </c>
      <c r="X104" s="429"/>
      <c r="Y104" s="429"/>
      <c r="Z104" s="429"/>
      <c r="AA104" s="429"/>
      <c r="AB104" s="429"/>
    </row>
    <row r="105" spans="1:35" ht="15.95" customHeight="1" thickBot="1" x14ac:dyDescent="0.25">
      <c r="A105" s="618"/>
      <c r="B105" s="548" t="str">
        <f>IF(J105=1,"FICHA FINAL","")</f>
        <v/>
      </c>
      <c r="C105" s="549"/>
      <c r="D105" s="549"/>
      <c r="E105" s="549"/>
      <c r="F105" s="549"/>
      <c r="G105" s="550"/>
      <c r="H105" s="142"/>
      <c r="I105" s="143"/>
      <c r="J105" s="551"/>
      <c r="K105" s="552"/>
      <c r="L105" s="671"/>
      <c r="M105" s="672"/>
      <c r="N105" s="672"/>
      <c r="O105" s="672"/>
      <c r="P105" s="672"/>
      <c r="Q105" s="672"/>
      <c r="R105" s="672"/>
      <c r="S105" s="672"/>
      <c r="T105" s="672"/>
      <c r="U105" s="673"/>
      <c r="W105" s="428" t="s">
        <v>798</v>
      </c>
      <c r="X105" s="428"/>
      <c r="Y105" s="428"/>
      <c r="Z105" s="428"/>
      <c r="AA105" s="428"/>
      <c r="AB105" s="428"/>
    </row>
    <row r="106" spans="1:35" ht="15" customHeight="1" x14ac:dyDescent="0.2">
      <c r="W106" s="284" t="s">
        <v>799</v>
      </c>
    </row>
    <row r="107" spans="1:35" x14ac:dyDescent="0.2">
      <c r="W107" s="284" t="s">
        <v>800</v>
      </c>
    </row>
  </sheetData>
  <dataConsolidate/>
  <mergeCells count="451">
    <mergeCell ref="H1:I1"/>
    <mergeCell ref="B1:D1"/>
    <mergeCell ref="E1:G1"/>
    <mergeCell ref="J1:L1"/>
    <mergeCell ref="M1:N1"/>
    <mergeCell ref="P1:Q1"/>
    <mergeCell ref="P19:Q19"/>
    <mergeCell ref="R19:S19"/>
    <mergeCell ref="T19:U19"/>
    <mergeCell ref="N4:O4"/>
    <mergeCell ref="N5:O5"/>
    <mergeCell ref="C15:G15"/>
    <mergeCell ref="L18:M18"/>
    <mergeCell ref="L19:M19"/>
    <mergeCell ref="P3:S3"/>
    <mergeCell ref="N2:O2"/>
    <mergeCell ref="P11:Q11"/>
    <mergeCell ref="N3:O3"/>
    <mergeCell ref="L15:M15"/>
    <mergeCell ref="L14:M14"/>
    <mergeCell ref="T1:U1"/>
    <mergeCell ref="P2:S2"/>
    <mergeCell ref="T4:U4"/>
    <mergeCell ref="B6:G6"/>
    <mergeCell ref="A79:A93"/>
    <mergeCell ref="T3:U3"/>
    <mergeCell ref="T84:U84"/>
    <mergeCell ref="L87:M87"/>
    <mergeCell ref="N87:O87"/>
    <mergeCell ref="P87:Q87"/>
    <mergeCell ref="R87:S87"/>
    <mergeCell ref="T87:U87"/>
    <mergeCell ref="L72:L73"/>
    <mergeCell ref="M72:M73"/>
    <mergeCell ref="T40:U40"/>
    <mergeCell ref="L36:M36"/>
    <mergeCell ref="L56:M56"/>
    <mergeCell ref="L63:L64"/>
    <mergeCell ref="P24:Q24"/>
    <mergeCell ref="R24:S24"/>
    <mergeCell ref="T24:U24"/>
    <mergeCell ref="R58:S58"/>
    <mergeCell ref="L29:M29"/>
    <mergeCell ref="N48:O48"/>
    <mergeCell ref="P48:Q48"/>
    <mergeCell ref="R48:S48"/>
    <mergeCell ref="L44:M44"/>
    <mergeCell ref="N14:U15"/>
    <mergeCell ref="W81:X93"/>
    <mergeCell ref="L90:U90"/>
    <mergeCell ref="L91:U91"/>
    <mergeCell ref="L92:U92"/>
    <mergeCell ref="L93:U93"/>
    <mergeCell ref="T52:U52"/>
    <mergeCell ref="L52:M52"/>
    <mergeCell ref="R63:R64"/>
    <mergeCell ref="U63:U64"/>
    <mergeCell ref="U72:U73"/>
    <mergeCell ref="Q63:Q64"/>
    <mergeCell ref="R66:S66"/>
    <mergeCell ref="T72:T73"/>
    <mergeCell ref="T68:U68"/>
    <mergeCell ref="N78:O78"/>
    <mergeCell ref="W79:X80"/>
    <mergeCell ref="W65:X73"/>
    <mergeCell ref="N63:N64"/>
    <mergeCell ref="W56:X64"/>
    <mergeCell ref="W36:X55"/>
    <mergeCell ref="T48:U48"/>
    <mergeCell ref="P57:Q57"/>
    <mergeCell ref="T56:U56"/>
    <mergeCell ref="T57:U57"/>
    <mergeCell ref="T5:U5"/>
    <mergeCell ref="C17:G17"/>
    <mergeCell ref="P18:Q18"/>
    <mergeCell ref="R18:S18"/>
    <mergeCell ref="L48:M48"/>
    <mergeCell ref="N67:O67"/>
    <mergeCell ref="H43:K43"/>
    <mergeCell ref="H46:K46"/>
    <mergeCell ref="H47:K47"/>
    <mergeCell ref="T59:U59"/>
    <mergeCell ref="J56:J64"/>
    <mergeCell ref="K56:K64"/>
    <mergeCell ref="L60:M60"/>
    <mergeCell ref="N60:O60"/>
    <mergeCell ref="P60:Q60"/>
    <mergeCell ref="R60:S60"/>
    <mergeCell ref="T60:U60"/>
    <mergeCell ref="T63:T64"/>
    <mergeCell ref="T58:U58"/>
    <mergeCell ref="N58:O58"/>
    <mergeCell ref="R57:S57"/>
    <mergeCell ref="P56:Q56"/>
    <mergeCell ref="R56:S56"/>
    <mergeCell ref="P44:Q44"/>
    <mergeCell ref="B14:G14"/>
    <mergeCell ref="B20:G20"/>
    <mergeCell ref="B22:G22"/>
    <mergeCell ref="B23:G23"/>
    <mergeCell ref="B24:G24"/>
    <mergeCell ref="B25:G25"/>
    <mergeCell ref="B18:G18"/>
    <mergeCell ref="C19:G19"/>
    <mergeCell ref="B16:G16"/>
    <mergeCell ref="A2:A3"/>
    <mergeCell ref="C13:G13"/>
    <mergeCell ref="L4:M4"/>
    <mergeCell ref="L5:M5"/>
    <mergeCell ref="C7:G7"/>
    <mergeCell ref="C9:G9"/>
    <mergeCell ref="C11:G11"/>
    <mergeCell ref="B10:G10"/>
    <mergeCell ref="L9:M9"/>
    <mergeCell ref="L13:M13"/>
    <mergeCell ref="G3:M3"/>
    <mergeCell ref="J4:K4"/>
    <mergeCell ref="G2:M2"/>
    <mergeCell ref="L6:M6"/>
    <mergeCell ref="L7:M7"/>
    <mergeCell ref="B8:G8"/>
    <mergeCell ref="B5:G5"/>
    <mergeCell ref="B4:G4"/>
    <mergeCell ref="B12:G12"/>
    <mergeCell ref="L12:M12"/>
    <mergeCell ref="L10:M10"/>
    <mergeCell ref="B2:F2"/>
    <mergeCell ref="B3:F3"/>
    <mergeCell ref="R11:S11"/>
    <mergeCell ref="L26:U26"/>
    <mergeCell ref="A4:A5"/>
    <mergeCell ref="P63:P64"/>
    <mergeCell ref="N59:O59"/>
    <mergeCell ref="P59:Q59"/>
    <mergeCell ref="P58:Q58"/>
    <mergeCell ref="N61:O61"/>
    <mergeCell ref="R59:S59"/>
    <mergeCell ref="B53:G53"/>
    <mergeCell ref="L24:M24"/>
    <mergeCell ref="B61:G61"/>
    <mergeCell ref="B62:G62"/>
    <mergeCell ref="B64:G64"/>
    <mergeCell ref="L58:M58"/>
    <mergeCell ref="B54:G54"/>
    <mergeCell ref="B55:G55"/>
    <mergeCell ref="B38:G38"/>
    <mergeCell ref="R32:S32"/>
    <mergeCell ref="L33:M33"/>
    <mergeCell ref="N33:O33"/>
    <mergeCell ref="N40:O40"/>
    <mergeCell ref="P61:Q61"/>
    <mergeCell ref="R61:S61"/>
    <mergeCell ref="L23:M23"/>
    <mergeCell ref="N25:O25"/>
    <mergeCell ref="P25:Q25"/>
    <mergeCell ref="R25:S25"/>
    <mergeCell ref="T33:U33"/>
    <mergeCell ref="N31:O31"/>
    <mergeCell ref="P31:Q31"/>
    <mergeCell ref="L31:M31"/>
    <mergeCell ref="N35:O35"/>
    <mergeCell ref="P35:Q35"/>
    <mergeCell ref="N32:O32"/>
    <mergeCell ref="P32:Q32"/>
    <mergeCell ref="P52:Q52"/>
    <mergeCell ref="R52:S52"/>
    <mergeCell ref="R35:S35"/>
    <mergeCell ref="R44:S44"/>
    <mergeCell ref="P36:Q36"/>
    <mergeCell ref="R36:S36"/>
    <mergeCell ref="L27:U27"/>
    <mergeCell ref="N24:O24"/>
    <mergeCell ref="L25:M25"/>
    <mergeCell ref="T61:U61"/>
    <mergeCell ref="T44:U44"/>
    <mergeCell ref="R40:S40"/>
    <mergeCell ref="P40:Q40"/>
    <mergeCell ref="L40:M40"/>
    <mergeCell ref="B27:G27"/>
    <mergeCell ref="H38:K38"/>
    <mergeCell ref="H42:K42"/>
    <mergeCell ref="B44:G44"/>
    <mergeCell ref="B45:G45"/>
    <mergeCell ref="B48:G48"/>
    <mergeCell ref="B49:G49"/>
    <mergeCell ref="B52:G52"/>
    <mergeCell ref="B46:G46"/>
    <mergeCell ref="B47:G47"/>
    <mergeCell ref="B50:G50"/>
    <mergeCell ref="B51:G51"/>
    <mergeCell ref="B43:G43"/>
    <mergeCell ref="T36:U36"/>
    <mergeCell ref="L34:M34"/>
    <mergeCell ref="L35:M35"/>
    <mergeCell ref="R31:S31"/>
    <mergeCell ref="T31:U31"/>
    <mergeCell ref="T32:U32"/>
    <mergeCell ref="P65:Q65"/>
    <mergeCell ref="P66:Q66"/>
    <mergeCell ref="N70:O70"/>
    <mergeCell ref="T65:U65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L101:U101"/>
    <mergeCell ref="L84:M84"/>
    <mergeCell ref="N84:O84"/>
    <mergeCell ref="L96:U96"/>
    <mergeCell ref="L97:U97"/>
    <mergeCell ref="P84:Q84"/>
    <mergeCell ref="R5:S5"/>
    <mergeCell ref="L16:M16"/>
    <mergeCell ref="L17:M17"/>
    <mergeCell ref="P17:Q17"/>
    <mergeCell ref="R17:S17"/>
    <mergeCell ref="P20:Q20"/>
    <mergeCell ref="L20:M20"/>
    <mergeCell ref="N20:O20"/>
    <mergeCell ref="R7:S7"/>
    <mergeCell ref="L8:M8"/>
    <mergeCell ref="N8:O8"/>
    <mergeCell ref="P8:Q8"/>
    <mergeCell ref="R8:S8"/>
    <mergeCell ref="N7:O7"/>
    <mergeCell ref="L11:M11"/>
    <mergeCell ref="P12:Q12"/>
    <mergeCell ref="P10:Q10"/>
    <mergeCell ref="R10:S10"/>
    <mergeCell ref="P4:Q4"/>
    <mergeCell ref="P5:Q5"/>
    <mergeCell ref="R4:S4"/>
    <mergeCell ref="T25:U25"/>
    <mergeCell ref="N18:O18"/>
    <mergeCell ref="T18:U18"/>
    <mergeCell ref="N19:O19"/>
    <mergeCell ref="T29:U29"/>
    <mergeCell ref="N16:O16"/>
    <mergeCell ref="P16:Q16"/>
    <mergeCell ref="R16:S16"/>
    <mergeCell ref="T16:U16"/>
    <mergeCell ref="N17:O17"/>
    <mergeCell ref="T17:U17"/>
    <mergeCell ref="T21:U21"/>
    <mergeCell ref="L28:U28"/>
    <mergeCell ref="L21:M21"/>
    <mergeCell ref="L22:U22"/>
    <mergeCell ref="N29:O29"/>
    <mergeCell ref="P29:Q29"/>
    <mergeCell ref="N21:O21"/>
    <mergeCell ref="P21:Q21"/>
    <mergeCell ref="R21:S21"/>
    <mergeCell ref="R12:S12"/>
    <mergeCell ref="A104:A105"/>
    <mergeCell ref="A6:A21"/>
    <mergeCell ref="A22:A25"/>
    <mergeCell ref="A26:A76"/>
    <mergeCell ref="A77:A78"/>
    <mergeCell ref="A94:A103"/>
    <mergeCell ref="B92:G92"/>
    <mergeCell ref="B94:G94"/>
    <mergeCell ref="B95:G95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32:G32"/>
    <mergeCell ref="B33:G33"/>
    <mergeCell ref="B40:G40"/>
    <mergeCell ref="C21:G21"/>
    <mergeCell ref="B30:G30"/>
    <mergeCell ref="T23:U23"/>
    <mergeCell ref="L30:M30"/>
    <mergeCell ref="T20:U20"/>
    <mergeCell ref="R20:S20"/>
    <mergeCell ref="P23:Q23"/>
    <mergeCell ref="AA6:AC6"/>
    <mergeCell ref="AA7:AC7"/>
    <mergeCell ref="W6:X7"/>
    <mergeCell ref="W9:X10"/>
    <mergeCell ref="N9:O9"/>
    <mergeCell ref="P9:Q9"/>
    <mergeCell ref="R9:S9"/>
    <mergeCell ref="T9:U9"/>
    <mergeCell ref="P7:Q7"/>
    <mergeCell ref="AA10:AC10"/>
    <mergeCell ref="N6:O6"/>
    <mergeCell ref="P6:Q6"/>
    <mergeCell ref="R6:S6"/>
    <mergeCell ref="T6:U6"/>
    <mergeCell ref="T7:U7"/>
    <mergeCell ref="T8:U8"/>
    <mergeCell ref="N10:O10"/>
    <mergeCell ref="T10:U10"/>
    <mergeCell ref="R23:S23"/>
    <mergeCell ref="AA11:AC11"/>
    <mergeCell ref="W26:X35"/>
    <mergeCell ref="N12:O12"/>
    <mergeCell ref="N11:O11"/>
    <mergeCell ref="R29:S29"/>
    <mergeCell ref="P30:Q30"/>
    <mergeCell ref="R30:S30"/>
    <mergeCell ref="T30:U30"/>
    <mergeCell ref="N30:O30"/>
    <mergeCell ref="P34:Q34"/>
    <mergeCell ref="R34:S34"/>
    <mergeCell ref="W22:X23"/>
    <mergeCell ref="W24:X25"/>
    <mergeCell ref="T35:U35"/>
    <mergeCell ref="T13:U13"/>
    <mergeCell ref="R13:S13"/>
    <mergeCell ref="P13:Q13"/>
    <mergeCell ref="N13:O13"/>
    <mergeCell ref="T12:U12"/>
    <mergeCell ref="T34:U34"/>
    <mergeCell ref="P33:Q33"/>
    <mergeCell ref="R33:S33"/>
    <mergeCell ref="N34:O34"/>
    <mergeCell ref="T11:U11"/>
    <mergeCell ref="B104:G104"/>
    <mergeCell ref="B105:G105"/>
    <mergeCell ref="J105:K105"/>
    <mergeCell ref="J76:K76"/>
    <mergeCell ref="J74:K74"/>
    <mergeCell ref="J75:K75"/>
    <mergeCell ref="B96:G96"/>
    <mergeCell ref="B97:G97"/>
    <mergeCell ref="B103:G103"/>
    <mergeCell ref="B74:G74"/>
    <mergeCell ref="B90:G90"/>
    <mergeCell ref="B91:G91"/>
    <mergeCell ref="B78:G78"/>
    <mergeCell ref="B75:G75"/>
    <mergeCell ref="B76:G76"/>
    <mergeCell ref="B100:G100"/>
    <mergeCell ref="B102:G102"/>
    <mergeCell ref="B84:G84"/>
    <mergeCell ref="B85:G85"/>
    <mergeCell ref="B83:G83"/>
    <mergeCell ref="B82:G82"/>
    <mergeCell ref="B89:G89"/>
    <mergeCell ref="N23:O23"/>
    <mergeCell ref="L32:M32"/>
    <mergeCell ref="R68:S68"/>
    <mergeCell ref="B66:G66"/>
    <mergeCell ref="M63:M64"/>
    <mergeCell ref="H50:K50"/>
    <mergeCell ref="L59:M59"/>
    <mergeCell ref="B58:G58"/>
    <mergeCell ref="B63:G63"/>
    <mergeCell ref="B65:G65"/>
    <mergeCell ref="J65:J73"/>
    <mergeCell ref="K65:K73"/>
    <mergeCell ref="L65:M65"/>
    <mergeCell ref="P70:Q70"/>
    <mergeCell ref="R70:S70"/>
    <mergeCell ref="L69:M69"/>
    <mergeCell ref="B70:G70"/>
    <mergeCell ref="R65:S65"/>
    <mergeCell ref="B67:G67"/>
    <mergeCell ref="L67:M67"/>
    <mergeCell ref="P67:Q67"/>
    <mergeCell ref="R67:S67"/>
    <mergeCell ref="L66:M66"/>
    <mergeCell ref="N66:O66"/>
    <mergeCell ref="S63:S64"/>
    <mergeCell ref="N56:O56"/>
    <mergeCell ref="R84:S84"/>
    <mergeCell ref="N72:N73"/>
    <mergeCell ref="O72:O73"/>
    <mergeCell ref="P72:P73"/>
    <mergeCell ref="Q72:Q73"/>
    <mergeCell ref="B72:G72"/>
    <mergeCell ref="J77:K78"/>
    <mergeCell ref="R72:R73"/>
    <mergeCell ref="S72:S73"/>
    <mergeCell ref="L74:U74"/>
    <mergeCell ref="L75:U75"/>
    <mergeCell ref="B80:G80"/>
    <mergeCell ref="B71:G71"/>
    <mergeCell ref="B69:G69"/>
    <mergeCell ref="L70:M70"/>
    <mergeCell ref="B59:G59"/>
    <mergeCell ref="B60:G60"/>
    <mergeCell ref="T66:U66"/>
    <mergeCell ref="T69:U69"/>
    <mergeCell ref="T67:U67"/>
    <mergeCell ref="T70:U70"/>
    <mergeCell ref="N65:O65"/>
    <mergeCell ref="H39:K39"/>
    <mergeCell ref="N36:O36"/>
    <mergeCell ref="B39:G39"/>
    <mergeCell ref="B42:G42"/>
    <mergeCell ref="B37:G37"/>
    <mergeCell ref="O63:O64"/>
    <mergeCell ref="N57:O57"/>
    <mergeCell ref="L61:M61"/>
    <mergeCell ref="L57:M57"/>
    <mergeCell ref="N44:O44"/>
    <mergeCell ref="B41:G41"/>
    <mergeCell ref="B36:G36"/>
    <mergeCell ref="B56:G56"/>
    <mergeCell ref="B57:G57"/>
    <mergeCell ref="H54:K54"/>
    <mergeCell ref="H51:K51"/>
    <mergeCell ref="H55:K55"/>
    <mergeCell ref="N52:O52"/>
    <mergeCell ref="W105:AB105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B93:G93"/>
    <mergeCell ref="B73:G73"/>
    <mergeCell ref="B68:G68"/>
    <mergeCell ref="N69:O69"/>
    <mergeCell ref="P69:Q69"/>
    <mergeCell ref="R69:S69"/>
    <mergeCell ref="B86:G86"/>
    <mergeCell ref="B101:G101"/>
    <mergeCell ref="B81:G81"/>
  </mergeCells>
  <phoneticPr fontId="29" type="noConversion"/>
  <conditionalFormatting sqref="K20">
    <cfRule type="notContainsBlanks" dxfId="473" priority="283">
      <formula>LEN(TRIM(K20))&gt;0</formula>
    </cfRule>
  </conditionalFormatting>
  <conditionalFormatting sqref="J20">
    <cfRule type="notContainsBlanks" dxfId="472" priority="256">
      <formula>LEN(TRIM(J20))&gt;0</formula>
    </cfRule>
  </conditionalFormatting>
  <conditionalFormatting sqref="J20">
    <cfRule type="expression" dxfId="471" priority="137">
      <formula>$AF$20="m"</formula>
    </cfRule>
    <cfRule type="expression" dxfId="470" priority="138">
      <formula>$AF$20="kg"</formula>
    </cfRule>
  </conditionalFormatting>
  <conditionalFormatting sqref="T2:T3">
    <cfRule type="expression" dxfId="469" priority="126">
      <formula>$T$2=""</formula>
    </cfRule>
    <cfRule type="containsText" dxfId="468" priority="129" operator="containsText" text="#">
      <formula>NOT(ISERROR(SEARCH("#",T2)))</formula>
    </cfRule>
  </conditionalFormatting>
  <conditionalFormatting sqref="U2">
    <cfRule type="expression" dxfId="467" priority="127">
      <formula>$T$2=""</formula>
    </cfRule>
    <cfRule type="expression" dxfId="466" priority="128">
      <formula>$T$2="#"</formula>
    </cfRule>
  </conditionalFormatting>
  <conditionalFormatting sqref="L24:M24">
    <cfRule type="expression" dxfId="465" priority="120">
      <formula>$L$24&lt;&gt;""</formula>
    </cfRule>
    <cfRule type="expression" dxfId="464" priority="121">
      <formula>$L$24=""</formula>
    </cfRule>
  </conditionalFormatting>
  <conditionalFormatting sqref="J76:K76">
    <cfRule type="expression" dxfId="463" priority="116">
      <formula>$J$76&lt;&gt;""</formula>
    </cfRule>
    <cfRule type="expression" dxfId="462" priority="117">
      <formula>$J$76=""</formula>
    </cfRule>
  </conditionalFormatting>
  <conditionalFormatting sqref="J77:K78">
    <cfRule type="expression" dxfId="461" priority="114">
      <formula>$J$77&lt;&gt;""</formula>
    </cfRule>
    <cfRule type="expression" dxfId="460" priority="115">
      <formula>$J$77=""</formula>
    </cfRule>
  </conditionalFormatting>
  <conditionalFormatting sqref="K20">
    <cfRule type="expression" dxfId="459" priority="107">
      <formula>$AF$8="kg"</formula>
    </cfRule>
    <cfRule type="expression" dxfId="458" priority="108">
      <formula>$AF$8="m"</formula>
    </cfRule>
  </conditionalFormatting>
  <conditionalFormatting sqref="B102:G102">
    <cfRule type="notContainsBlanks" dxfId="457" priority="284">
      <formula>LEN(TRIM(B102))&gt;0</formula>
    </cfRule>
  </conditionalFormatting>
  <conditionalFormatting sqref="K16">
    <cfRule type="notContainsBlanks" dxfId="456" priority="99">
      <formula>LEN(TRIM(K16))&gt;0</formula>
    </cfRule>
  </conditionalFormatting>
  <conditionalFormatting sqref="J16">
    <cfRule type="notContainsBlanks" dxfId="455" priority="98">
      <formula>LEN(TRIM(J16))&gt;0</formula>
    </cfRule>
  </conditionalFormatting>
  <conditionalFormatting sqref="J16">
    <cfRule type="expression" dxfId="454" priority="96">
      <formula>$AF$14="m"</formula>
    </cfRule>
    <cfRule type="expression" dxfId="453" priority="97">
      <formula>$AF$14="kg"</formula>
    </cfRule>
  </conditionalFormatting>
  <conditionalFormatting sqref="K16">
    <cfRule type="expression" dxfId="452" priority="94">
      <formula>$AF$14="m"</formula>
    </cfRule>
    <cfRule type="expression" dxfId="451" priority="95">
      <formula>$AF$14="kg"</formula>
    </cfRule>
  </conditionalFormatting>
  <conditionalFormatting sqref="K18">
    <cfRule type="notContainsBlanks" dxfId="450" priority="93">
      <formula>LEN(TRIM(K18))&gt;0</formula>
    </cfRule>
  </conditionalFormatting>
  <conditionalFormatting sqref="J18">
    <cfRule type="notContainsBlanks" dxfId="449" priority="92">
      <formula>LEN(TRIM(J18))&gt;0</formula>
    </cfRule>
  </conditionalFormatting>
  <conditionalFormatting sqref="J18">
    <cfRule type="expression" dxfId="448" priority="90">
      <formula>$AF$14="m"</formula>
    </cfRule>
    <cfRule type="expression" dxfId="447" priority="91">
      <formula>$AF$14="kg"</formula>
    </cfRule>
  </conditionalFormatting>
  <conditionalFormatting sqref="K18">
    <cfRule type="expression" dxfId="446" priority="88">
      <formula>$AF$14="m"</formula>
    </cfRule>
    <cfRule type="expression" dxfId="445" priority="89">
      <formula>$AF$14="kg"</formula>
    </cfRule>
  </conditionalFormatting>
  <conditionalFormatting sqref="E1">
    <cfRule type="notContainsBlanks" dxfId="444" priority="63">
      <formula>LEN(TRIM(E1))&gt;0</formula>
    </cfRule>
  </conditionalFormatting>
  <conditionalFormatting sqref="B1:D1">
    <cfRule type="containsText" dxfId="443" priority="62" operator="containsText" text="TEMPORADA">
      <formula>NOT(ISERROR(SEARCH("TEMPORADA",B1)))</formula>
    </cfRule>
  </conditionalFormatting>
  <conditionalFormatting sqref="E1:G1">
    <cfRule type="containsText" dxfId="442" priority="61" operator="containsText" text="GRISINO O BROER">
      <formula>NOT(ISERROR(SEARCH("GRISINO O BROER",E1)))</formula>
    </cfRule>
  </conditionalFormatting>
  <conditionalFormatting sqref="H1:I1">
    <cfRule type="containsText" dxfId="441" priority="60" operator="containsText" text="MPG VARON O NENA">
      <formula>NOT(ISERROR(SEARCH("MPG VARON O NENA",H1)))</formula>
    </cfRule>
  </conditionalFormatting>
  <conditionalFormatting sqref="M1:N1">
    <cfRule type="containsText" dxfId="440" priority="59" operator="containsText" text="TIPOLOGIA">
      <formula>NOT(ISERROR(SEARCH("TIPOLOGIA",M1)))</formula>
    </cfRule>
  </conditionalFormatting>
  <conditionalFormatting sqref="O1">
    <cfRule type="containsText" dxfId="439" priority="58" operator="containsText" text="Nº">
      <formula>NOT(ISERROR(SEARCH("Nº",O1)))</formula>
    </cfRule>
  </conditionalFormatting>
  <conditionalFormatting sqref="B28:F29 H29:J29 I28">
    <cfRule type="cellIs" dxfId="438" priority="57" operator="between">
      <formula>0</formula>
      <formula>0.0000000001</formula>
    </cfRule>
  </conditionalFormatting>
  <conditionalFormatting sqref="L38">
    <cfRule type="notContainsBlanks" dxfId="437" priority="56">
      <formula>LEN(TRIM(L38))&gt;0</formula>
    </cfRule>
  </conditionalFormatting>
  <conditionalFormatting sqref="M38">
    <cfRule type="notContainsBlanks" dxfId="436" priority="55">
      <formula>LEN(TRIM(M38))&gt;0</formula>
    </cfRule>
  </conditionalFormatting>
  <conditionalFormatting sqref="N38">
    <cfRule type="notContainsBlanks" dxfId="435" priority="54">
      <formula>LEN(TRIM(N38))&gt;0</formula>
    </cfRule>
  </conditionalFormatting>
  <conditionalFormatting sqref="O38:P38">
    <cfRule type="notContainsBlanks" dxfId="434" priority="53">
      <formula>LEN(TRIM(O38))&gt;0</formula>
    </cfRule>
  </conditionalFormatting>
  <conditionalFormatting sqref="Q38">
    <cfRule type="notContainsBlanks" dxfId="433" priority="52">
      <formula>LEN(TRIM(Q38))&gt;0</formula>
    </cfRule>
  </conditionalFormatting>
  <conditionalFormatting sqref="R38">
    <cfRule type="notContainsBlanks" dxfId="432" priority="51">
      <formula>LEN(TRIM(R38))&gt;0</formula>
    </cfRule>
  </conditionalFormatting>
  <conditionalFormatting sqref="S38">
    <cfRule type="notContainsBlanks" dxfId="431" priority="50">
      <formula>LEN(TRIM(S38))&gt;0</formula>
    </cfRule>
  </conditionalFormatting>
  <conditionalFormatting sqref="T38">
    <cfRule type="notContainsBlanks" dxfId="430" priority="49">
      <formula>LEN(TRIM(T38))&gt;0</formula>
    </cfRule>
  </conditionalFormatting>
  <conditionalFormatting sqref="J6">
    <cfRule type="notContainsBlanks" dxfId="429" priority="48">
      <formula>LEN(TRIM(J6))&gt;0</formula>
    </cfRule>
  </conditionalFormatting>
  <conditionalFormatting sqref="J6">
    <cfRule type="expression" dxfId="428" priority="46">
      <formula>$AF$6="m"</formula>
    </cfRule>
    <cfRule type="expression" dxfId="427" priority="47">
      <formula>$AF$6="kg"</formula>
    </cfRule>
  </conditionalFormatting>
  <conditionalFormatting sqref="J8">
    <cfRule type="notContainsBlanks" dxfId="426" priority="45">
      <formula>LEN(TRIM(J8))&gt;0</formula>
    </cfRule>
  </conditionalFormatting>
  <conditionalFormatting sqref="J8">
    <cfRule type="expression" dxfId="425" priority="43">
      <formula>$AF$6="m"</formula>
    </cfRule>
    <cfRule type="expression" dxfId="424" priority="44">
      <formula>$AF$6="kg"</formula>
    </cfRule>
  </conditionalFormatting>
  <conditionalFormatting sqref="J10">
    <cfRule type="notContainsBlanks" dxfId="423" priority="42">
      <formula>LEN(TRIM(J10))&gt;0</formula>
    </cfRule>
  </conditionalFormatting>
  <conditionalFormatting sqref="J10">
    <cfRule type="expression" dxfId="422" priority="40">
      <formula>$AF$6="m"</formula>
    </cfRule>
    <cfRule type="expression" dxfId="421" priority="41">
      <formula>$AF$6="kg"</formula>
    </cfRule>
  </conditionalFormatting>
  <conditionalFormatting sqref="J12">
    <cfRule type="notContainsBlanks" dxfId="420" priority="39">
      <formula>LEN(TRIM(J12))&gt;0</formula>
    </cfRule>
  </conditionalFormatting>
  <conditionalFormatting sqref="J12">
    <cfRule type="expression" dxfId="419" priority="37">
      <formula>$AF$6="m"</formula>
    </cfRule>
    <cfRule type="expression" dxfId="418" priority="38">
      <formula>$AF$6="kg"</formula>
    </cfRule>
  </conditionalFormatting>
  <conditionalFormatting sqref="J14">
    <cfRule type="notContainsBlanks" dxfId="417" priority="36">
      <formula>LEN(TRIM(J14))&gt;0</formula>
    </cfRule>
  </conditionalFormatting>
  <conditionalFormatting sqref="J14">
    <cfRule type="expression" dxfId="416" priority="34">
      <formula>$AF$6="m"</formula>
    </cfRule>
    <cfRule type="expression" dxfId="415" priority="35">
      <formula>$AF$6="kg"</formula>
    </cfRule>
  </conditionalFormatting>
  <conditionalFormatting sqref="J22">
    <cfRule type="notContainsBlanks" dxfId="414" priority="33">
      <formula>LEN(TRIM(J22))&gt;0</formula>
    </cfRule>
  </conditionalFormatting>
  <conditionalFormatting sqref="J22">
    <cfRule type="expression" dxfId="413" priority="31">
      <formula>$AF$6="m"</formula>
    </cfRule>
    <cfRule type="expression" dxfId="412" priority="32">
      <formula>$AF$6="kg"</formula>
    </cfRule>
  </conditionalFormatting>
  <conditionalFormatting sqref="J26">
    <cfRule type="notContainsBlanks" dxfId="411" priority="30">
      <formula>LEN(TRIM(J26))&gt;0</formula>
    </cfRule>
  </conditionalFormatting>
  <conditionalFormatting sqref="J26">
    <cfRule type="expression" dxfId="410" priority="28">
      <formula>$AF$6="m"</formula>
    </cfRule>
    <cfRule type="expression" dxfId="409" priority="29">
      <formula>$AF$6="kg"</formula>
    </cfRule>
  </conditionalFormatting>
  <conditionalFormatting sqref="J28">
    <cfRule type="notContainsBlanks" dxfId="408" priority="27">
      <formula>LEN(TRIM(J28))&gt;0</formula>
    </cfRule>
  </conditionalFormatting>
  <conditionalFormatting sqref="J28">
    <cfRule type="expression" dxfId="407" priority="25">
      <formula>$AF$6="m"</formula>
    </cfRule>
    <cfRule type="expression" dxfId="406" priority="26">
      <formula>$AF$6="kg"</formula>
    </cfRule>
  </conditionalFormatting>
  <conditionalFormatting sqref="K6">
    <cfRule type="notContainsBlanks" dxfId="405" priority="24">
      <formula>LEN(TRIM(K6))&gt;0</formula>
    </cfRule>
  </conditionalFormatting>
  <conditionalFormatting sqref="K6">
    <cfRule type="expression" dxfId="404" priority="22">
      <formula>$AF$6="m"</formula>
    </cfRule>
    <cfRule type="expression" dxfId="403" priority="23">
      <formula>$AF$6="kg"</formula>
    </cfRule>
  </conditionalFormatting>
  <conditionalFormatting sqref="K8">
    <cfRule type="notContainsBlanks" dxfId="402" priority="21">
      <formula>LEN(TRIM(K8))&gt;0</formula>
    </cfRule>
  </conditionalFormatting>
  <conditionalFormatting sqref="K8">
    <cfRule type="expression" dxfId="401" priority="19">
      <formula>$AF$6="m"</formula>
    </cfRule>
    <cfRule type="expression" dxfId="400" priority="20">
      <formula>$AF$6="kg"</formula>
    </cfRule>
  </conditionalFormatting>
  <conditionalFormatting sqref="K10">
    <cfRule type="notContainsBlanks" dxfId="399" priority="18">
      <formula>LEN(TRIM(K10))&gt;0</formula>
    </cfRule>
  </conditionalFormatting>
  <conditionalFormatting sqref="K10">
    <cfRule type="expression" dxfId="398" priority="16">
      <formula>$AF$6="m"</formula>
    </cfRule>
    <cfRule type="expression" dxfId="397" priority="17">
      <formula>$AF$6="kg"</formula>
    </cfRule>
  </conditionalFormatting>
  <conditionalFormatting sqref="K12">
    <cfRule type="notContainsBlanks" dxfId="396" priority="15">
      <formula>LEN(TRIM(K12))&gt;0</formula>
    </cfRule>
  </conditionalFormatting>
  <conditionalFormatting sqref="K12">
    <cfRule type="expression" dxfId="395" priority="13">
      <formula>$AF$6="m"</formula>
    </cfRule>
    <cfRule type="expression" dxfId="394" priority="14">
      <formula>$AF$6="kg"</formula>
    </cfRule>
  </conditionalFormatting>
  <conditionalFormatting sqref="K14">
    <cfRule type="notContainsBlanks" dxfId="393" priority="12">
      <formula>LEN(TRIM(K14))&gt;0</formula>
    </cfRule>
  </conditionalFormatting>
  <conditionalFormatting sqref="K14">
    <cfRule type="expression" dxfId="392" priority="10">
      <formula>$AF$6="m"</formula>
    </cfRule>
    <cfRule type="expression" dxfId="391" priority="11">
      <formula>$AF$6="kg"</formula>
    </cfRule>
  </conditionalFormatting>
  <conditionalFormatting sqref="K22">
    <cfRule type="notContainsBlanks" dxfId="390" priority="9">
      <formula>LEN(TRIM(K22))&gt;0</formula>
    </cfRule>
  </conditionalFormatting>
  <conditionalFormatting sqref="K22">
    <cfRule type="expression" dxfId="389" priority="7">
      <formula>$AF$6="m"</formula>
    </cfRule>
    <cfRule type="expression" dxfId="388" priority="8">
      <formula>$AF$6="kg"</formula>
    </cfRule>
  </conditionalFormatting>
  <conditionalFormatting sqref="K26">
    <cfRule type="notContainsBlanks" dxfId="387" priority="6">
      <formula>LEN(TRIM(K26))&gt;0</formula>
    </cfRule>
  </conditionalFormatting>
  <conditionalFormatting sqref="K26">
    <cfRule type="expression" dxfId="386" priority="4">
      <formula>$AF$6="m"</formula>
    </cfRule>
    <cfRule type="expression" dxfId="385" priority="5">
      <formula>$AF$6="kg"</formula>
    </cfRule>
  </conditionalFormatting>
  <conditionalFormatting sqref="K28">
    <cfRule type="notContainsBlanks" dxfId="384" priority="3">
      <formula>LEN(TRIM(K28))&gt;0</formula>
    </cfRule>
  </conditionalFormatting>
  <conditionalFormatting sqref="K28">
    <cfRule type="expression" dxfId="383" priority="1">
      <formula>$AF$6="m"</formula>
    </cfRule>
    <cfRule type="expression" dxfId="382" priority="2">
      <formula>$AF$6="kg"</formula>
    </cfRule>
  </conditionalFormatting>
  <printOptions horizontalCentered="1" verticalCentered="1"/>
  <pageMargins left="0.23622047244094491" right="0.23622047244094491" top="0.39370078740157483" bottom="0.39370078740157483" header="0.31496062992125984" footer="0.31496062992125984"/>
  <pageSetup paperSize="5" scale="7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AUX!$E$11:$E$14</xm:f>
          </x14:formula1>
          <xm:sqref>P3:S3</xm:sqref>
        </x14:dataValidation>
        <x14:dataValidation type="list" allowBlank="1" showInputMessage="1" showErrorMessage="1">
          <x14:formula1>
            <xm:f>AUX!$E$68:$E$82</xm:f>
          </x14:formula1>
          <xm:sqref>B99:G100</xm:sqref>
        </x14:dataValidation>
        <x14:dataValidation type="list" allowBlank="1" showInputMessage="1" showErrorMessage="1">
          <x14:formula1>
            <xm:f>AUX!$E$83:$E$98</xm:f>
          </x14:formula1>
          <xm:sqref>B101:G101</xm:sqref>
        </x14:dataValidation>
        <x14:dataValidation type="list" allowBlank="1" showInputMessage="1" showErrorMessage="1">
          <x14:formula1>
            <xm:f>AUX!$E$99:$E$116</xm:f>
          </x14:formula1>
          <xm:sqref>B103:G103</xm:sqref>
        </x14:dataValidation>
        <x14:dataValidation type="list" allowBlank="1" showInputMessage="1" showErrorMessage="1">
          <x14:formula1>
            <xm:f>AUX!$E$19:$E$22</xm:f>
          </x14:formula1>
          <xm:sqref>B22:G22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AUX!$E$40:$E$67</xm:f>
          </x14:formula1>
          <xm:sqref>B94:G95</xm:sqref>
        </x14:dataValidation>
        <x14:dataValidation type="list" allowBlank="1" showInputMessage="1" showErrorMessage="1">
          <x14:formula1>
            <xm:f>AUX!$E$3:$E$7</xm:f>
          </x14:formula1>
          <xm:sqref>P2:S2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workbookViewId="0">
      <selection activeCell="B15" sqref="B15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19" t="s">
        <v>613</v>
      </c>
      <c r="B1" s="19" t="s">
        <v>671</v>
      </c>
      <c r="C1" s="23" t="s">
        <v>640</v>
      </c>
      <c r="D1" s="37" t="s">
        <v>639</v>
      </c>
      <c r="E1" s="22" t="s">
        <v>683</v>
      </c>
    </row>
    <row r="2" spans="1:5" ht="15" x14ac:dyDescent="0.25">
      <c r="A2" s="19"/>
      <c r="B2" s="19"/>
      <c r="C2" s="23" t="s">
        <v>643</v>
      </c>
      <c r="D2" s="37" t="s">
        <v>642</v>
      </c>
      <c r="E2" s="22" t="s">
        <v>683</v>
      </c>
    </row>
    <row r="3" spans="1:5" ht="15" x14ac:dyDescent="0.25">
      <c r="C3" s="23" t="s">
        <v>615</v>
      </c>
      <c r="D3" s="23" t="s">
        <v>614</v>
      </c>
      <c r="E3" s="22" t="s">
        <v>683</v>
      </c>
    </row>
    <row r="4" spans="1:5" ht="15" x14ac:dyDescent="0.25">
      <c r="C4" s="23" t="s">
        <v>648</v>
      </c>
      <c r="D4" s="23" t="s">
        <v>647</v>
      </c>
      <c r="E4" s="22" t="s">
        <v>683</v>
      </c>
    </row>
    <row r="5" spans="1:5" ht="15" x14ac:dyDescent="0.25">
      <c r="C5" s="23" t="s">
        <v>653</v>
      </c>
      <c r="D5" s="23" t="s">
        <v>652</v>
      </c>
      <c r="E5" s="22" t="s">
        <v>683</v>
      </c>
    </row>
    <row r="6" spans="1:5" ht="15" x14ac:dyDescent="0.25">
      <c r="C6" s="23" t="s">
        <v>669</v>
      </c>
      <c r="D6" s="37" t="s">
        <v>668</v>
      </c>
      <c r="E6" s="22" t="s">
        <v>683</v>
      </c>
    </row>
    <row r="7" spans="1:5" ht="15" x14ac:dyDescent="0.25">
      <c r="C7" s="23" t="s">
        <v>617</v>
      </c>
      <c r="D7" s="37" t="s">
        <v>616</v>
      </c>
      <c r="E7" s="22" t="s">
        <v>683</v>
      </c>
    </row>
    <row r="8" spans="1:5" ht="15" x14ac:dyDescent="0.25">
      <c r="C8" s="23" t="s">
        <v>620</v>
      </c>
      <c r="D8" s="37" t="s">
        <v>621</v>
      </c>
      <c r="E8" s="22" t="s">
        <v>683</v>
      </c>
    </row>
    <row r="9" spans="1:5" ht="15" x14ac:dyDescent="0.25">
      <c r="C9" s="23" t="s">
        <v>629</v>
      </c>
      <c r="D9" s="37" t="s">
        <v>628</v>
      </c>
      <c r="E9" s="22" t="s">
        <v>683</v>
      </c>
    </row>
    <row r="10" spans="1:5" ht="15" x14ac:dyDescent="0.25">
      <c r="C10" s="23" t="s">
        <v>619</v>
      </c>
      <c r="D10" s="37" t="s">
        <v>618</v>
      </c>
      <c r="E10" s="22" t="s">
        <v>683</v>
      </c>
    </row>
    <row r="11" spans="1:5" ht="15" x14ac:dyDescent="0.25">
      <c r="C11" s="23" t="s">
        <v>623</v>
      </c>
      <c r="D11" s="23" t="s">
        <v>622</v>
      </c>
      <c r="E11" s="22" t="s">
        <v>683</v>
      </c>
    </row>
    <row r="12" spans="1:5" ht="15" x14ac:dyDescent="0.25">
      <c r="C12" s="23" t="s">
        <v>667</v>
      </c>
      <c r="D12" s="23" t="s">
        <v>666</v>
      </c>
      <c r="E12" s="22" t="s">
        <v>682</v>
      </c>
    </row>
    <row r="13" spans="1:5" ht="15" x14ac:dyDescent="0.25">
      <c r="C13" s="23" t="s">
        <v>632</v>
      </c>
      <c r="D13" s="37" t="s">
        <v>631</v>
      </c>
      <c r="E13" s="22" t="s">
        <v>683</v>
      </c>
    </row>
    <row r="14" spans="1:5" ht="15" x14ac:dyDescent="0.25">
      <c r="C14" s="23" t="s">
        <v>795</v>
      </c>
      <c r="D14" s="37" t="s">
        <v>654</v>
      </c>
      <c r="E14" s="22" t="s">
        <v>683</v>
      </c>
    </row>
    <row r="15" spans="1:5" ht="15" x14ac:dyDescent="0.25">
      <c r="C15" s="23" t="s">
        <v>796</v>
      </c>
      <c r="D15" s="37" t="s">
        <v>655</v>
      </c>
      <c r="E15" s="22" t="s">
        <v>683</v>
      </c>
    </row>
    <row r="16" spans="1:5" ht="15" x14ac:dyDescent="0.25">
      <c r="A16" s="20"/>
      <c r="C16" s="23" t="s">
        <v>661</v>
      </c>
      <c r="D16" s="23" t="s">
        <v>660</v>
      </c>
      <c r="E16" s="22" t="s">
        <v>682</v>
      </c>
    </row>
    <row r="17" spans="1:5" ht="15" x14ac:dyDescent="0.25">
      <c r="A17" s="20"/>
      <c r="C17" s="23" t="s">
        <v>663</v>
      </c>
      <c r="D17" s="23" t="s">
        <v>662</v>
      </c>
      <c r="E17" s="22" t="s">
        <v>682</v>
      </c>
    </row>
    <row r="18" spans="1:5" ht="15" x14ac:dyDescent="0.25">
      <c r="A18" s="20"/>
      <c r="C18" s="23" t="s">
        <v>659</v>
      </c>
      <c r="D18" s="37" t="s">
        <v>658</v>
      </c>
      <c r="E18" s="22" t="s">
        <v>683</v>
      </c>
    </row>
    <row r="19" spans="1:5" ht="15" x14ac:dyDescent="0.25">
      <c r="A19" s="20"/>
      <c r="C19" s="23" t="s">
        <v>665</v>
      </c>
      <c r="D19" s="37" t="s">
        <v>664</v>
      </c>
      <c r="E19" s="22" t="s">
        <v>682</v>
      </c>
    </row>
    <row r="20" spans="1:5" ht="15" x14ac:dyDescent="0.25">
      <c r="A20" s="20"/>
      <c r="C20" s="23" t="s">
        <v>689</v>
      </c>
      <c r="D20" s="37" t="s">
        <v>630</v>
      </c>
      <c r="E20" s="22" t="s">
        <v>683</v>
      </c>
    </row>
    <row r="21" spans="1:5" ht="15" x14ac:dyDescent="0.25">
      <c r="A21" s="20"/>
      <c r="C21" s="23" t="s">
        <v>634</v>
      </c>
      <c r="D21" s="37" t="s">
        <v>633</v>
      </c>
      <c r="E21" s="22" t="s">
        <v>683</v>
      </c>
    </row>
    <row r="22" spans="1:5" ht="15" x14ac:dyDescent="0.25">
      <c r="A22" s="20"/>
      <c r="C22" s="23" t="s">
        <v>636</v>
      </c>
      <c r="D22" s="23" t="s">
        <v>635</v>
      </c>
      <c r="E22" s="22" t="s">
        <v>683</v>
      </c>
    </row>
    <row r="23" spans="1:5" ht="15" x14ac:dyDescent="0.25">
      <c r="A23" s="20"/>
      <c r="C23" s="23" t="s">
        <v>638</v>
      </c>
      <c r="D23" s="37" t="s">
        <v>637</v>
      </c>
      <c r="E23" s="22" t="s">
        <v>683</v>
      </c>
    </row>
    <row r="24" spans="1:5" ht="15" x14ac:dyDescent="0.25">
      <c r="A24" s="20"/>
      <c r="C24" s="23" t="s">
        <v>677</v>
      </c>
      <c r="D24" s="37" t="s">
        <v>641</v>
      </c>
      <c r="E24" s="22" t="s">
        <v>683</v>
      </c>
    </row>
    <row r="25" spans="1:5" ht="15" x14ac:dyDescent="0.25">
      <c r="A25" s="20"/>
      <c r="C25" s="23" t="s">
        <v>678</v>
      </c>
      <c r="D25" s="37" t="s">
        <v>644</v>
      </c>
      <c r="E25" s="22" t="s">
        <v>683</v>
      </c>
    </row>
    <row r="26" spans="1:5" ht="15" x14ac:dyDescent="0.25">
      <c r="A26" s="20"/>
      <c r="C26" s="23" t="s">
        <v>650</v>
      </c>
      <c r="D26" s="23" t="s">
        <v>649</v>
      </c>
      <c r="E26" s="22" t="s">
        <v>683</v>
      </c>
    </row>
    <row r="27" spans="1:5" ht="15" x14ac:dyDescent="0.25">
      <c r="A27" s="20"/>
      <c r="C27" s="23" t="s">
        <v>646</v>
      </c>
      <c r="D27" s="23" t="s">
        <v>645</v>
      </c>
      <c r="E27" s="22" t="s">
        <v>683</v>
      </c>
    </row>
    <row r="28" spans="1:5" ht="15" x14ac:dyDescent="0.25">
      <c r="A28" s="20"/>
      <c r="C28" s="23" t="s">
        <v>679</v>
      </c>
      <c r="D28" s="23" t="s">
        <v>651</v>
      </c>
      <c r="E28" s="22" t="s">
        <v>683</v>
      </c>
    </row>
    <row r="29" spans="1:5" ht="15" x14ac:dyDescent="0.25">
      <c r="A29" s="20"/>
      <c r="C29" s="23" t="s">
        <v>657</v>
      </c>
      <c r="D29" s="37" t="s">
        <v>656</v>
      </c>
      <c r="E29" s="22" t="s">
        <v>683</v>
      </c>
    </row>
    <row r="30" spans="1:5" ht="15" x14ac:dyDescent="0.25">
      <c r="C30" s="23" t="s">
        <v>625</v>
      </c>
      <c r="D30" s="23" t="s">
        <v>624</v>
      </c>
      <c r="E30" s="22" t="s">
        <v>683</v>
      </c>
    </row>
    <row r="31" spans="1:5" ht="15" x14ac:dyDescent="0.25">
      <c r="C31" s="23" t="s">
        <v>627</v>
      </c>
      <c r="D31" s="23" t="s">
        <v>626</v>
      </c>
      <c r="E31" s="22" t="s">
        <v>683</v>
      </c>
    </row>
    <row r="32" spans="1:5" ht="15" x14ac:dyDescent="0.25">
      <c r="C32" s="23" t="s">
        <v>1245</v>
      </c>
      <c r="D32" s="23" t="s">
        <v>1246</v>
      </c>
      <c r="E32" s="22" t="s">
        <v>683</v>
      </c>
    </row>
    <row r="33" spans="3:5" ht="15" x14ac:dyDescent="0.25">
      <c r="C33" s="23" t="s">
        <v>1254</v>
      </c>
      <c r="D33" s="23" t="s">
        <v>1255</v>
      </c>
      <c r="E33" s="22" t="s">
        <v>682</v>
      </c>
    </row>
    <row r="34" spans="3:5" ht="15" x14ac:dyDescent="0.25">
      <c r="C34" s="23" t="s">
        <v>1256</v>
      </c>
      <c r="D34" s="23" t="s">
        <v>1260</v>
      </c>
      <c r="E34" s="22" t="s">
        <v>682</v>
      </c>
    </row>
    <row r="35" spans="3:5" ht="15" x14ac:dyDescent="0.25">
      <c r="C35" s="23" t="s">
        <v>1257</v>
      </c>
      <c r="D35" s="23" t="s">
        <v>1261</v>
      </c>
      <c r="E35" s="22" t="s">
        <v>682</v>
      </c>
    </row>
    <row r="36" spans="3:5" ht="15" x14ac:dyDescent="0.25">
      <c r="C36" s="23" t="s">
        <v>1258</v>
      </c>
      <c r="D36" s="23" t="s">
        <v>1262</v>
      </c>
      <c r="E36" s="22" t="s">
        <v>682</v>
      </c>
    </row>
    <row r="37" spans="3:5" ht="15" x14ac:dyDescent="0.25">
      <c r="C37" s="23" t="s">
        <v>1259</v>
      </c>
      <c r="D37" s="23" t="s">
        <v>1263</v>
      </c>
      <c r="E37" s="22" t="s">
        <v>682</v>
      </c>
    </row>
    <row r="43" spans="3:5" ht="15" x14ac:dyDescent="0.25">
      <c r="C43" s="20"/>
      <c r="D43" s="20"/>
      <c r="E43" s="22"/>
    </row>
    <row r="44" spans="3:5" ht="15" x14ac:dyDescent="0.25">
      <c r="C44" s="20"/>
      <c r="D44" s="20"/>
      <c r="E44" s="22"/>
    </row>
    <row r="45" spans="3:5" ht="15" x14ac:dyDescent="0.25">
      <c r="C45" s="34"/>
      <c r="D45" s="34"/>
      <c r="E45" s="22"/>
    </row>
    <row r="46" spans="3:5" ht="15" x14ac:dyDescent="0.25">
      <c r="C46" s="34"/>
      <c r="D46" s="34"/>
      <c r="E46" s="22"/>
    </row>
    <row r="47" spans="3:5" ht="15" x14ac:dyDescent="0.25">
      <c r="C47" s="34"/>
      <c r="D47" s="34"/>
      <c r="E47" s="22"/>
    </row>
  </sheetData>
  <sheetProtection algorithmName="SHA-512" hashValue="Qx5jz54AmzguCCF4WRV4tbvNlIKpBwJx1OKJbNnLIZuLfLVHDaDN8jVI0sGIM5HlY27D7zpyhkccy0Trn+HXAw==" saltValue="FYR+Mpi563jSpBEUoc02i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2"/>
  <sheetViews>
    <sheetView workbookViewId="0">
      <selection activeCell="F27" sqref="F27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37.85546875" customWidth="1"/>
    <col min="6" max="6" width="28.28515625" bestFit="1" customWidth="1"/>
    <col min="7" max="7" width="54.28515625" style="22" bestFit="1" customWidth="1"/>
    <col min="8" max="8" width="7.7109375" customWidth="1"/>
    <col min="9" max="9" width="36.42578125" customWidth="1"/>
  </cols>
  <sheetData>
    <row r="1" spans="1:8" x14ac:dyDescent="0.2">
      <c r="A1" s="819"/>
      <c r="B1" s="819"/>
      <c r="C1" s="819"/>
      <c r="D1" s="17"/>
      <c r="E1" s="821" t="s">
        <v>154</v>
      </c>
      <c r="F1" s="820" t="s">
        <v>153</v>
      </c>
      <c r="H1" s="19"/>
    </row>
    <row r="2" spans="1:8" ht="24.6" customHeight="1" x14ac:dyDescent="0.2">
      <c r="A2" s="819"/>
      <c r="B2" s="819"/>
      <c r="C2" s="819"/>
      <c r="D2" s="17"/>
      <c r="E2" s="821"/>
      <c r="F2" s="820"/>
      <c r="H2" s="19"/>
    </row>
    <row r="3" spans="1:8" ht="15" customHeight="1" x14ac:dyDescent="0.2">
      <c r="A3" s="17"/>
      <c r="B3" s="17"/>
      <c r="C3" s="16" t="s">
        <v>263</v>
      </c>
      <c r="D3" s="16"/>
      <c r="E3" s="24" t="s">
        <v>1311</v>
      </c>
      <c r="F3" s="29" t="s">
        <v>1321</v>
      </c>
      <c r="H3" s="19"/>
    </row>
    <row r="4" spans="1:8" ht="15" customHeight="1" x14ac:dyDescent="0.2">
      <c r="A4" s="17"/>
      <c r="B4" s="17"/>
      <c r="C4" s="19" t="s">
        <v>258</v>
      </c>
      <c r="D4" s="19"/>
      <c r="E4" s="24" t="s">
        <v>1310</v>
      </c>
      <c r="F4" s="29" t="s">
        <v>1320</v>
      </c>
      <c r="H4" s="19"/>
    </row>
    <row r="5" spans="1:8" ht="15" customHeight="1" x14ac:dyDescent="0.2">
      <c r="A5" s="17"/>
      <c r="B5" s="17"/>
      <c r="C5" s="19" t="s">
        <v>261</v>
      </c>
      <c r="D5" s="19"/>
      <c r="E5" s="24" t="s">
        <v>217</v>
      </c>
      <c r="F5" s="29" t="s">
        <v>264</v>
      </c>
      <c r="H5" s="19"/>
    </row>
    <row r="6" spans="1:8" ht="14.45" customHeight="1" x14ac:dyDescent="0.2">
      <c r="C6" s="16" t="s">
        <v>680</v>
      </c>
      <c r="D6" s="16"/>
      <c r="E6" s="321" t="s">
        <v>1313</v>
      </c>
      <c r="F6" s="22" t="s">
        <v>158</v>
      </c>
      <c r="G6" s="22" t="s">
        <v>1264</v>
      </c>
      <c r="H6" s="16"/>
    </row>
    <row r="7" spans="1:8" ht="15" x14ac:dyDescent="0.2">
      <c r="C7" s="19" t="s">
        <v>258</v>
      </c>
      <c r="D7" s="19"/>
      <c r="E7" s="24" t="s">
        <v>151</v>
      </c>
      <c r="F7" s="22" t="s">
        <v>1319</v>
      </c>
      <c r="H7" s="16"/>
    </row>
    <row r="8" spans="1:8" ht="14.45" customHeight="1" x14ac:dyDescent="0.2">
      <c r="C8" s="19" t="s">
        <v>260</v>
      </c>
      <c r="D8" s="19"/>
      <c r="E8" s="24" t="s">
        <v>217</v>
      </c>
      <c r="F8" s="22" t="s">
        <v>1318</v>
      </c>
      <c r="H8" s="16"/>
    </row>
    <row r="9" spans="1:8" ht="14.45" customHeight="1" x14ac:dyDescent="0.2">
      <c r="C9" s="19"/>
      <c r="D9" s="19"/>
      <c r="H9" s="16"/>
    </row>
    <row r="10" spans="1:8" x14ac:dyDescent="0.2">
      <c r="C10" s="19"/>
      <c r="D10" s="19"/>
      <c r="E10" s="25"/>
      <c r="F10" s="22"/>
      <c r="H10" s="14"/>
    </row>
    <row r="11" spans="1:8" ht="14.45" customHeight="1" x14ac:dyDescent="0.2">
      <c r="C11" s="15" t="s">
        <v>681</v>
      </c>
      <c r="D11" s="15"/>
      <c r="E11" s="26" t="s">
        <v>1312</v>
      </c>
      <c r="F11" s="22" t="s">
        <v>152</v>
      </c>
      <c r="H11" s="15"/>
    </row>
    <row r="12" spans="1:8" ht="14.45" customHeight="1" x14ac:dyDescent="0.2">
      <c r="C12" s="19" t="s">
        <v>259</v>
      </c>
      <c r="D12" s="19"/>
      <c r="E12" s="26" t="s">
        <v>1314</v>
      </c>
      <c r="F12" s="22" t="s">
        <v>158</v>
      </c>
      <c r="G12" s="22" t="s">
        <v>1264</v>
      </c>
      <c r="H12" s="15"/>
    </row>
    <row r="13" spans="1:8" ht="14.45" customHeight="1" x14ac:dyDescent="0.2">
      <c r="C13" s="19" t="s">
        <v>262</v>
      </c>
      <c r="D13" s="19"/>
      <c r="E13" s="26" t="s">
        <v>151</v>
      </c>
      <c r="F13" s="22" t="s">
        <v>1319</v>
      </c>
      <c r="H13" s="15"/>
    </row>
    <row r="14" spans="1:8" ht="14.45" customHeight="1" x14ac:dyDescent="0.2">
      <c r="C14" s="19"/>
      <c r="D14" s="19"/>
      <c r="E14" s="26" t="s">
        <v>217</v>
      </c>
      <c r="F14" s="22" t="s">
        <v>218</v>
      </c>
      <c r="H14" s="15"/>
    </row>
    <row r="15" spans="1:8" ht="14.45" customHeight="1" x14ac:dyDescent="0.2">
      <c r="C15" s="19"/>
      <c r="D15" s="19"/>
      <c r="H15" s="15"/>
    </row>
    <row r="16" spans="1:8" x14ac:dyDescent="0.2">
      <c r="C16" s="19"/>
      <c r="D16" s="19"/>
      <c r="E16" s="14"/>
      <c r="F16" s="14"/>
      <c r="G16" s="41"/>
      <c r="H16" s="14"/>
    </row>
    <row r="17" spans="3:9" x14ac:dyDescent="0.2">
      <c r="C17" s="19" t="s">
        <v>268</v>
      </c>
      <c r="D17" s="19" t="s">
        <v>670</v>
      </c>
      <c r="E17" s="27" t="s">
        <v>269</v>
      </c>
      <c r="F17" s="28" t="s">
        <v>194</v>
      </c>
      <c r="G17" s="41"/>
      <c r="H17" s="14"/>
    </row>
    <row r="18" spans="3:9" x14ac:dyDescent="0.2">
      <c r="C18" s="19"/>
      <c r="D18" s="19"/>
      <c r="E18" s="14"/>
      <c r="F18" s="28" t="s">
        <v>257</v>
      </c>
      <c r="G18" s="41"/>
      <c r="H18" s="14"/>
    </row>
    <row r="19" spans="3:9" ht="15" x14ac:dyDescent="0.25">
      <c r="C19" s="19" t="s">
        <v>162</v>
      </c>
      <c r="D19" s="19" t="s">
        <v>270</v>
      </c>
      <c r="E19" s="20" t="s">
        <v>189</v>
      </c>
      <c r="F19" s="20" t="s">
        <v>188</v>
      </c>
    </row>
    <row r="20" spans="3:9" ht="15" x14ac:dyDescent="0.25">
      <c r="C20" s="19" t="s">
        <v>163</v>
      </c>
      <c r="D20" s="19" t="s">
        <v>270</v>
      </c>
      <c r="E20" s="20" t="s">
        <v>190</v>
      </c>
      <c r="F20" s="20" t="s">
        <v>191</v>
      </c>
    </row>
    <row r="21" spans="3:9" ht="15" x14ac:dyDescent="0.25">
      <c r="C21" s="19"/>
      <c r="D21" s="19"/>
      <c r="E21" s="20"/>
      <c r="F21" s="20"/>
    </row>
    <row r="22" spans="3:9" ht="14.45" customHeight="1" x14ac:dyDescent="0.2">
      <c r="C22" s="19"/>
      <c r="D22" s="19"/>
      <c r="F22" s="16"/>
      <c r="G22" s="39"/>
      <c r="H22" s="16"/>
      <c r="I22" s="16"/>
    </row>
    <row r="23" spans="3:9" ht="15" x14ac:dyDescent="0.25">
      <c r="C23" s="19" t="s">
        <v>164</v>
      </c>
      <c r="D23" s="19" t="s">
        <v>271</v>
      </c>
      <c r="E23" s="20" t="s">
        <v>23</v>
      </c>
      <c r="F23" s="20" t="s">
        <v>17</v>
      </c>
    </row>
    <row r="24" spans="3:9" ht="15" x14ac:dyDescent="0.25">
      <c r="C24" s="19"/>
      <c r="D24" s="19" t="s">
        <v>271</v>
      </c>
      <c r="E24" s="20" t="s">
        <v>219</v>
      </c>
      <c r="F24" s="20" t="s">
        <v>213</v>
      </c>
      <c r="H24" s="20"/>
    </row>
    <row r="25" spans="3:9" ht="15" x14ac:dyDescent="0.25">
      <c r="C25" s="19"/>
      <c r="D25" s="19" t="s">
        <v>271</v>
      </c>
      <c r="E25" s="20" t="s">
        <v>220</v>
      </c>
      <c r="F25" s="20" t="s">
        <v>214</v>
      </c>
      <c r="H25" s="20"/>
    </row>
    <row r="26" spans="3:9" ht="15" x14ac:dyDescent="0.25">
      <c r="C26" s="19"/>
      <c r="D26" s="19" t="s">
        <v>271</v>
      </c>
      <c r="E26" s="20" t="s">
        <v>221</v>
      </c>
      <c r="F26" s="20" t="s">
        <v>215</v>
      </c>
      <c r="H26" s="20"/>
    </row>
    <row r="27" spans="3:9" ht="15" x14ac:dyDescent="0.25">
      <c r="C27" s="19"/>
      <c r="D27" s="19" t="s">
        <v>271</v>
      </c>
      <c r="E27" s="20" t="s">
        <v>222</v>
      </c>
      <c r="F27" s="20" t="s">
        <v>1322</v>
      </c>
      <c r="H27" s="20"/>
    </row>
    <row r="28" spans="3:9" ht="15" x14ac:dyDescent="0.25">
      <c r="C28" s="19"/>
      <c r="D28" s="19" t="s">
        <v>271</v>
      </c>
      <c r="E28" s="20" t="s">
        <v>223</v>
      </c>
      <c r="F28" s="20" t="s">
        <v>216</v>
      </c>
      <c r="H28" s="20"/>
    </row>
    <row r="29" spans="3:9" ht="15" x14ac:dyDescent="0.25">
      <c r="C29" s="19"/>
      <c r="D29" s="19" t="s">
        <v>271</v>
      </c>
      <c r="E29" s="20" t="s">
        <v>265</v>
      </c>
      <c r="F29" s="20" t="s">
        <v>212</v>
      </c>
    </row>
    <row r="30" spans="3:9" ht="15" x14ac:dyDescent="0.25">
      <c r="C30" s="19"/>
      <c r="D30" s="19" t="s">
        <v>271</v>
      </c>
      <c r="E30" s="20" t="s">
        <v>266</v>
      </c>
      <c r="F30" s="20" t="s">
        <v>267</v>
      </c>
    </row>
    <row r="31" spans="3:9" ht="15" x14ac:dyDescent="0.25">
      <c r="C31" s="19"/>
      <c r="D31" s="19"/>
      <c r="E31" s="20"/>
      <c r="F31" s="20"/>
    </row>
    <row r="32" spans="3:9" ht="15" x14ac:dyDescent="0.25">
      <c r="C32" s="19"/>
      <c r="D32" s="19"/>
      <c r="E32" s="20"/>
      <c r="F32" s="20"/>
    </row>
    <row r="33" spans="3:8" ht="15" x14ac:dyDescent="0.25">
      <c r="C33" s="19"/>
      <c r="D33" s="19"/>
      <c r="E33" s="20"/>
      <c r="F33" s="20"/>
    </row>
    <row r="34" spans="3:8" ht="15" x14ac:dyDescent="0.25">
      <c r="C34" s="19"/>
      <c r="D34" s="19"/>
      <c r="E34" s="20"/>
      <c r="F34" s="20"/>
    </row>
    <row r="35" spans="3:8" ht="15" x14ac:dyDescent="0.25">
      <c r="C35" s="19"/>
      <c r="D35" s="19"/>
      <c r="E35" s="20"/>
      <c r="F35" s="20"/>
    </row>
    <row r="36" spans="3:8" ht="15" x14ac:dyDescent="0.25">
      <c r="C36" s="19"/>
      <c r="D36" s="19"/>
      <c r="E36" s="20"/>
      <c r="F36" s="20"/>
    </row>
    <row r="37" spans="3:8" ht="15" x14ac:dyDescent="0.25">
      <c r="C37" s="19"/>
      <c r="D37" s="19"/>
      <c r="E37" s="20"/>
      <c r="F37" s="20"/>
    </row>
    <row r="38" spans="3:8" ht="15" x14ac:dyDescent="0.25">
      <c r="C38" s="19"/>
      <c r="D38" s="19"/>
      <c r="E38" s="20"/>
      <c r="F38" s="20"/>
    </row>
    <row r="39" spans="3:8" ht="15" x14ac:dyDescent="0.25">
      <c r="C39" s="19"/>
      <c r="D39" s="19"/>
      <c r="E39" s="20"/>
      <c r="F39" s="20"/>
    </row>
    <row r="40" spans="3:8" ht="15" x14ac:dyDescent="0.25">
      <c r="C40" s="19" t="s">
        <v>155</v>
      </c>
      <c r="D40" s="19" t="s">
        <v>275</v>
      </c>
      <c r="E40" s="23" t="s">
        <v>235</v>
      </c>
      <c r="F40" s="23" t="s">
        <v>16</v>
      </c>
      <c r="H40" s="20"/>
    </row>
    <row r="41" spans="3:8" ht="15" x14ac:dyDescent="0.25">
      <c r="C41" s="19"/>
      <c r="D41" s="19" t="s">
        <v>275</v>
      </c>
      <c r="E41" s="20" t="s">
        <v>226</v>
      </c>
      <c r="F41" s="20" t="s">
        <v>225</v>
      </c>
      <c r="H41" s="20"/>
    </row>
    <row r="42" spans="3:8" ht="15" x14ac:dyDescent="0.25">
      <c r="C42" s="19"/>
      <c r="D42" s="19" t="s">
        <v>275</v>
      </c>
      <c r="E42" s="20" t="s">
        <v>241</v>
      </c>
      <c r="F42" s="20" t="s">
        <v>240</v>
      </c>
      <c r="H42" s="20"/>
    </row>
    <row r="43" spans="3:8" ht="15" x14ac:dyDescent="0.25">
      <c r="C43" s="19"/>
      <c r="D43" s="19" t="s">
        <v>275</v>
      </c>
      <c r="E43" s="20" t="s">
        <v>243</v>
      </c>
      <c r="F43" s="20" t="s">
        <v>242</v>
      </c>
      <c r="H43" s="20"/>
    </row>
    <row r="44" spans="3:8" ht="15" x14ac:dyDescent="0.25">
      <c r="C44" s="19"/>
      <c r="D44" s="19" t="s">
        <v>275</v>
      </c>
      <c r="E44" s="20" t="s">
        <v>245</v>
      </c>
      <c r="F44" s="20" t="s">
        <v>244</v>
      </c>
      <c r="H44" s="20"/>
    </row>
    <row r="45" spans="3:8" ht="15" x14ac:dyDescent="0.25">
      <c r="C45" s="19"/>
      <c r="D45" s="19" t="s">
        <v>275</v>
      </c>
      <c r="E45" s="20" t="s">
        <v>247</v>
      </c>
      <c r="F45" s="20" t="s">
        <v>246</v>
      </c>
      <c r="H45" s="20"/>
    </row>
    <row r="46" spans="3:8" ht="15" x14ac:dyDescent="0.25">
      <c r="C46" s="19"/>
      <c r="D46" s="19" t="s">
        <v>275</v>
      </c>
      <c r="E46" s="20" t="s">
        <v>251</v>
      </c>
      <c r="F46" s="20" t="s">
        <v>250</v>
      </c>
      <c r="H46" s="20"/>
    </row>
    <row r="47" spans="3:8" ht="15" x14ac:dyDescent="0.25">
      <c r="C47" s="19"/>
      <c r="D47" s="19" t="s">
        <v>275</v>
      </c>
      <c r="E47" s="20" t="s">
        <v>256</v>
      </c>
      <c r="F47" s="20" t="s">
        <v>227</v>
      </c>
      <c r="H47" s="20"/>
    </row>
    <row r="48" spans="3:8" ht="15" x14ac:dyDescent="0.25">
      <c r="C48" s="19"/>
      <c r="D48" s="19" t="s">
        <v>275</v>
      </c>
      <c r="E48" s="20" t="s">
        <v>233</v>
      </c>
      <c r="F48" s="20" t="s">
        <v>232</v>
      </c>
      <c r="H48" s="20"/>
    </row>
    <row r="49" spans="3:8" ht="15" x14ac:dyDescent="0.25">
      <c r="C49" s="19"/>
      <c r="D49" s="19" t="s">
        <v>275</v>
      </c>
      <c r="E49" s="20" t="s">
        <v>229</v>
      </c>
      <c r="F49" s="20" t="s">
        <v>228</v>
      </c>
      <c r="H49" s="20"/>
    </row>
    <row r="50" spans="3:8" ht="15" x14ac:dyDescent="0.25">
      <c r="C50" s="19"/>
      <c r="D50" s="19" t="s">
        <v>275</v>
      </c>
      <c r="E50" s="20" t="s">
        <v>237</v>
      </c>
      <c r="F50" s="20" t="s">
        <v>236</v>
      </c>
      <c r="H50" s="20"/>
    </row>
    <row r="51" spans="3:8" ht="15" x14ac:dyDescent="0.25">
      <c r="C51" s="19"/>
      <c r="D51" s="19" t="s">
        <v>275</v>
      </c>
      <c r="E51" s="20" t="s">
        <v>231</v>
      </c>
      <c r="F51" s="20" t="s">
        <v>230</v>
      </c>
      <c r="H51" s="20"/>
    </row>
    <row r="52" spans="3:8" ht="15" x14ac:dyDescent="0.25">
      <c r="C52" s="19"/>
      <c r="D52" s="19" t="s">
        <v>275</v>
      </c>
      <c r="E52" s="20" t="s">
        <v>249</v>
      </c>
      <c r="F52" s="20" t="s">
        <v>248</v>
      </c>
      <c r="H52" s="20"/>
    </row>
    <row r="53" spans="3:8" ht="15" x14ac:dyDescent="0.25">
      <c r="C53" s="19"/>
      <c r="D53" s="19" t="s">
        <v>275</v>
      </c>
      <c r="E53" s="20" t="s">
        <v>253</v>
      </c>
      <c r="F53" s="20" t="s">
        <v>252</v>
      </c>
      <c r="H53" s="20"/>
    </row>
    <row r="54" spans="3:8" ht="15" x14ac:dyDescent="0.25">
      <c r="C54" s="19"/>
      <c r="D54" s="19" t="s">
        <v>275</v>
      </c>
      <c r="E54" s="20" t="s">
        <v>255</v>
      </c>
      <c r="F54" s="20" t="s">
        <v>254</v>
      </c>
      <c r="H54" s="20"/>
    </row>
    <row r="55" spans="3:8" ht="15" x14ac:dyDescent="0.25">
      <c r="C55" s="19"/>
      <c r="D55" s="19" t="s">
        <v>275</v>
      </c>
      <c r="E55" s="20" t="s">
        <v>239</v>
      </c>
      <c r="F55" s="20" t="s">
        <v>238</v>
      </c>
    </row>
    <row r="56" spans="3:8" ht="15" x14ac:dyDescent="0.25">
      <c r="C56" s="19"/>
      <c r="D56" s="19" t="s">
        <v>275</v>
      </c>
      <c r="E56" s="20" t="s">
        <v>276</v>
      </c>
      <c r="F56" s="20" t="s">
        <v>234</v>
      </c>
      <c r="H56" s="20"/>
    </row>
    <row r="57" spans="3:8" ht="15" x14ac:dyDescent="0.25">
      <c r="H57" s="20"/>
    </row>
    <row r="58" spans="3:8" ht="15" x14ac:dyDescent="0.25">
      <c r="C58" s="19"/>
      <c r="H58" s="20"/>
    </row>
    <row r="59" spans="3:8" ht="15" x14ac:dyDescent="0.25">
      <c r="C59" s="19"/>
      <c r="H59" s="20"/>
    </row>
    <row r="60" spans="3:8" ht="15" x14ac:dyDescent="0.25">
      <c r="C60" s="19"/>
      <c r="H60" s="20"/>
    </row>
    <row r="61" spans="3:8" ht="15" x14ac:dyDescent="0.25">
      <c r="C61" s="19"/>
      <c r="H61" s="20"/>
    </row>
    <row r="62" spans="3:8" ht="15" x14ac:dyDescent="0.25">
      <c r="C62" s="19"/>
      <c r="H62" s="20"/>
    </row>
    <row r="63" spans="3:8" ht="15" x14ac:dyDescent="0.25">
      <c r="C63" s="19"/>
      <c r="H63" s="20"/>
    </row>
    <row r="64" spans="3:8" ht="15" x14ac:dyDescent="0.25">
      <c r="C64" s="19"/>
      <c r="D64" s="19"/>
      <c r="E64" s="20"/>
      <c r="F64" s="20"/>
      <c r="H64" s="20"/>
    </row>
    <row r="65" spans="3:8" ht="15" x14ac:dyDescent="0.25">
      <c r="C65" s="19"/>
      <c r="D65" s="19"/>
      <c r="E65" s="20"/>
      <c r="F65" s="20"/>
      <c r="H65" s="20"/>
    </row>
    <row r="66" spans="3:8" ht="15" x14ac:dyDescent="0.25">
      <c r="C66" s="19"/>
      <c r="D66" s="19"/>
      <c r="E66" s="20"/>
      <c r="F66" s="20"/>
      <c r="H66" s="20"/>
    </row>
    <row r="67" spans="3:8" ht="15" x14ac:dyDescent="0.25">
      <c r="C67" s="19"/>
      <c r="D67" s="19"/>
      <c r="H67" s="20"/>
    </row>
    <row r="68" spans="3:8" ht="15" x14ac:dyDescent="0.25">
      <c r="C68" s="19" t="s">
        <v>156</v>
      </c>
      <c r="D68" s="19" t="s">
        <v>277</v>
      </c>
      <c r="E68" s="20" t="s">
        <v>50</v>
      </c>
      <c r="F68" s="20" t="s">
        <v>15</v>
      </c>
      <c r="G68" s="22" t="s">
        <v>1248</v>
      </c>
    </row>
    <row r="69" spans="3:8" ht="15" x14ac:dyDescent="0.25">
      <c r="C69" s="19"/>
      <c r="D69" s="19" t="s">
        <v>277</v>
      </c>
      <c r="E69" s="20" t="s">
        <v>49</v>
      </c>
      <c r="F69" s="20" t="s">
        <v>51</v>
      </c>
      <c r="G69" s="22" t="s">
        <v>1249</v>
      </c>
    </row>
    <row r="70" spans="3:8" ht="15" x14ac:dyDescent="0.25">
      <c r="C70" s="19"/>
      <c r="D70" s="19" t="s">
        <v>277</v>
      </c>
      <c r="E70" s="20" t="s">
        <v>192</v>
      </c>
      <c r="F70" s="20" t="s">
        <v>193</v>
      </c>
      <c r="G70" s="22" t="s">
        <v>1247</v>
      </c>
    </row>
    <row r="71" spans="3:8" ht="15" x14ac:dyDescent="0.25">
      <c r="D71" s="19" t="s">
        <v>277</v>
      </c>
      <c r="E71" s="20" t="s">
        <v>195</v>
      </c>
      <c r="F71" s="20" t="s">
        <v>196</v>
      </c>
      <c r="G71" s="22" t="s">
        <v>1250</v>
      </c>
    </row>
    <row r="72" spans="3:8" ht="15" x14ac:dyDescent="0.25">
      <c r="D72" s="19" t="s">
        <v>277</v>
      </c>
      <c r="E72" s="20" t="s">
        <v>211</v>
      </c>
      <c r="F72" s="20" t="s">
        <v>210</v>
      </c>
    </row>
    <row r="73" spans="3:8" ht="15" x14ac:dyDescent="0.25">
      <c r="D73" s="19"/>
      <c r="E73" s="20"/>
      <c r="F73" s="20"/>
    </row>
    <row r="74" spans="3:8" ht="15" x14ac:dyDescent="0.25">
      <c r="D74" s="19"/>
      <c r="E74" s="20"/>
      <c r="F74" s="20"/>
    </row>
    <row r="75" spans="3:8" ht="15" x14ac:dyDescent="0.25">
      <c r="D75" s="19"/>
      <c r="E75" s="20"/>
      <c r="F75" s="20"/>
    </row>
    <row r="76" spans="3:8" ht="15" x14ac:dyDescent="0.25">
      <c r="D76" s="19"/>
      <c r="E76" s="20"/>
      <c r="F76" s="20"/>
    </row>
    <row r="77" spans="3:8" ht="15" x14ac:dyDescent="0.25">
      <c r="D77" s="19"/>
      <c r="E77" s="20"/>
      <c r="F77" s="20"/>
    </row>
    <row r="78" spans="3:8" ht="15" x14ac:dyDescent="0.25">
      <c r="D78" s="19"/>
      <c r="E78" s="20"/>
      <c r="F78" s="20"/>
    </row>
    <row r="79" spans="3:8" ht="15" x14ac:dyDescent="0.25">
      <c r="D79" s="19"/>
      <c r="E79" s="20"/>
      <c r="F79" s="20"/>
    </row>
    <row r="80" spans="3:8" ht="15" x14ac:dyDescent="0.25">
      <c r="D80" s="19"/>
      <c r="E80" s="20"/>
      <c r="F80" s="20"/>
    </row>
    <row r="81" spans="3:6" ht="15" x14ac:dyDescent="0.25">
      <c r="D81" s="19"/>
      <c r="E81" s="20"/>
      <c r="F81" s="20"/>
    </row>
    <row r="83" spans="3:6" ht="15" x14ac:dyDescent="0.25">
      <c r="C83" s="19" t="s">
        <v>209</v>
      </c>
      <c r="D83" s="19" t="s">
        <v>278</v>
      </c>
      <c r="E83" s="20" t="s">
        <v>198</v>
      </c>
      <c r="F83" s="20" t="s">
        <v>197</v>
      </c>
    </row>
    <row r="84" spans="3:6" ht="15" x14ac:dyDescent="0.25">
      <c r="D84" s="19" t="s">
        <v>278</v>
      </c>
      <c r="E84" s="20" t="s">
        <v>200</v>
      </c>
      <c r="F84" s="20" t="s">
        <v>199</v>
      </c>
    </row>
    <row r="85" spans="3:6" ht="15" x14ac:dyDescent="0.25">
      <c r="D85" s="19" t="s">
        <v>278</v>
      </c>
      <c r="E85" s="20" t="s">
        <v>202</v>
      </c>
      <c r="F85" s="20" t="s">
        <v>201</v>
      </c>
    </row>
    <row r="86" spans="3:6" ht="15" x14ac:dyDescent="0.25">
      <c r="D86" s="19" t="s">
        <v>278</v>
      </c>
      <c r="E86" s="20" t="s">
        <v>204</v>
      </c>
      <c r="F86" s="20" t="s">
        <v>203</v>
      </c>
    </row>
    <row r="87" spans="3:6" ht="15" x14ac:dyDescent="0.25">
      <c r="D87" s="19" t="s">
        <v>278</v>
      </c>
      <c r="E87" s="20" t="s">
        <v>206</v>
      </c>
      <c r="F87" s="20" t="s">
        <v>205</v>
      </c>
    </row>
    <row r="88" spans="3:6" ht="15" x14ac:dyDescent="0.25">
      <c r="D88" s="19" t="s">
        <v>278</v>
      </c>
      <c r="E88" s="20" t="s">
        <v>208</v>
      </c>
      <c r="F88" s="20" t="s">
        <v>207</v>
      </c>
    </row>
    <row r="89" spans="3:6" ht="15" x14ac:dyDescent="0.25">
      <c r="D89" s="19"/>
      <c r="E89" s="20"/>
      <c r="F89" s="20"/>
    </row>
    <row r="90" spans="3:6" ht="15" x14ac:dyDescent="0.25">
      <c r="D90" s="19"/>
      <c r="E90" s="20"/>
      <c r="F90" s="20"/>
    </row>
    <row r="91" spans="3:6" ht="15" x14ac:dyDescent="0.25">
      <c r="D91" s="19"/>
      <c r="E91" s="20"/>
      <c r="F91" s="20"/>
    </row>
    <row r="92" spans="3:6" ht="15" x14ac:dyDescent="0.25">
      <c r="D92" s="19"/>
      <c r="E92" s="20"/>
      <c r="F92" s="20"/>
    </row>
    <row r="93" spans="3:6" ht="15" x14ac:dyDescent="0.25">
      <c r="D93" s="19"/>
      <c r="E93" s="20"/>
      <c r="F93" s="20"/>
    </row>
    <row r="94" spans="3:6" ht="15" x14ac:dyDescent="0.25">
      <c r="D94" s="19"/>
      <c r="E94" s="20"/>
      <c r="F94" s="20"/>
    </row>
    <row r="95" spans="3:6" ht="15" x14ac:dyDescent="0.25">
      <c r="D95" s="19"/>
      <c r="E95" s="20"/>
      <c r="F95" s="20"/>
    </row>
    <row r="96" spans="3:6" ht="15" x14ac:dyDescent="0.25">
      <c r="D96" s="19"/>
      <c r="E96" s="20"/>
      <c r="F96" s="20"/>
    </row>
    <row r="97" spans="3:7" ht="15" x14ac:dyDescent="0.25">
      <c r="D97" s="19"/>
      <c r="E97" s="20"/>
      <c r="F97" s="20"/>
    </row>
    <row r="99" spans="3:7" ht="15" x14ac:dyDescent="0.25">
      <c r="C99" s="19" t="s">
        <v>157</v>
      </c>
      <c r="D99" s="19" t="s">
        <v>279</v>
      </c>
      <c r="E99" s="20" t="s">
        <v>172</v>
      </c>
      <c r="F99" s="20" t="s">
        <v>14</v>
      </c>
      <c r="G99" s="22" t="s">
        <v>180</v>
      </c>
    </row>
    <row r="100" spans="3:7" ht="15" x14ac:dyDescent="0.25">
      <c r="D100" s="19" t="s">
        <v>279</v>
      </c>
      <c r="E100" s="20" t="s">
        <v>173</v>
      </c>
      <c r="F100" s="20" t="s">
        <v>165</v>
      </c>
      <c r="G100" s="22" t="s">
        <v>181</v>
      </c>
    </row>
    <row r="101" spans="3:7" ht="15" x14ac:dyDescent="0.25">
      <c r="D101" s="19" t="s">
        <v>279</v>
      </c>
      <c r="E101" s="20" t="s">
        <v>174</v>
      </c>
      <c r="F101" s="20" t="s">
        <v>166</v>
      </c>
      <c r="G101" s="22" t="s">
        <v>182</v>
      </c>
    </row>
    <row r="102" spans="3:7" ht="15" x14ac:dyDescent="0.25">
      <c r="D102" s="19" t="s">
        <v>279</v>
      </c>
      <c r="E102" s="20" t="s">
        <v>175</v>
      </c>
      <c r="F102" s="20" t="s">
        <v>167</v>
      </c>
      <c r="G102" s="22" t="s">
        <v>183</v>
      </c>
    </row>
    <row r="103" spans="3:7" ht="15" x14ac:dyDescent="0.25">
      <c r="D103" s="19" t="s">
        <v>279</v>
      </c>
      <c r="E103" s="20" t="s">
        <v>176</v>
      </c>
      <c r="F103" s="20" t="s">
        <v>168</v>
      </c>
      <c r="G103" s="22" t="s">
        <v>184</v>
      </c>
    </row>
    <row r="104" spans="3:7" ht="15" x14ac:dyDescent="0.25">
      <c r="D104" s="19" t="s">
        <v>279</v>
      </c>
      <c r="E104" s="20" t="s">
        <v>177</v>
      </c>
      <c r="F104" s="20" t="s">
        <v>169</v>
      </c>
      <c r="G104" s="22" t="s">
        <v>185</v>
      </c>
    </row>
    <row r="105" spans="3:7" ht="15" x14ac:dyDescent="0.25">
      <c r="D105" s="19" t="s">
        <v>279</v>
      </c>
      <c r="E105" s="20" t="s">
        <v>178</v>
      </c>
      <c r="F105" s="20" t="s">
        <v>170</v>
      </c>
      <c r="G105" s="22" t="s">
        <v>186</v>
      </c>
    </row>
    <row r="106" spans="3:7" ht="15" x14ac:dyDescent="0.25">
      <c r="D106" s="19" t="s">
        <v>279</v>
      </c>
      <c r="E106" s="21" t="s">
        <v>179</v>
      </c>
      <c r="F106" s="20" t="s">
        <v>171</v>
      </c>
      <c r="G106" s="40" t="s">
        <v>187</v>
      </c>
    </row>
    <row r="107" spans="3:7" ht="15" x14ac:dyDescent="0.25">
      <c r="D107" s="19"/>
      <c r="E107" s="21"/>
      <c r="F107" s="20"/>
      <c r="G107" s="40"/>
    </row>
    <row r="108" spans="3:7" ht="15" x14ac:dyDescent="0.25">
      <c r="D108" s="19"/>
      <c r="E108" s="21"/>
      <c r="F108" s="20"/>
      <c r="G108" s="40"/>
    </row>
    <row r="109" spans="3:7" ht="15" x14ac:dyDescent="0.25">
      <c r="D109" s="19"/>
      <c r="E109" s="21"/>
      <c r="F109" s="20"/>
      <c r="G109" s="40"/>
    </row>
    <row r="110" spans="3:7" ht="15" x14ac:dyDescent="0.25">
      <c r="D110" s="19"/>
      <c r="E110" s="21"/>
      <c r="F110" s="20"/>
      <c r="G110" s="40"/>
    </row>
    <row r="111" spans="3:7" ht="15" x14ac:dyDescent="0.25">
      <c r="D111" s="19"/>
      <c r="E111" s="21"/>
      <c r="F111" s="20"/>
      <c r="G111" s="40"/>
    </row>
    <row r="112" spans="3:7" ht="15" x14ac:dyDescent="0.25">
      <c r="D112" s="19"/>
      <c r="E112" s="21"/>
      <c r="F112" s="20"/>
      <c r="G112" s="40"/>
    </row>
    <row r="113" spans="3:7" ht="15" x14ac:dyDescent="0.25">
      <c r="D113" s="19"/>
      <c r="E113" s="21"/>
      <c r="F113" s="20"/>
      <c r="G113" s="40"/>
    </row>
    <row r="114" spans="3:7" ht="15" x14ac:dyDescent="0.25">
      <c r="D114" s="19"/>
      <c r="E114" s="21"/>
      <c r="F114" s="20"/>
      <c r="G114" s="40"/>
    </row>
    <row r="117" spans="3:7" ht="15" x14ac:dyDescent="0.25">
      <c r="C117" s="19"/>
      <c r="D117" s="19"/>
      <c r="E117" s="23"/>
      <c r="F117" s="37"/>
    </row>
    <row r="118" spans="3:7" ht="15" x14ac:dyDescent="0.25">
      <c r="C118" s="19"/>
      <c r="D118" s="19"/>
      <c r="E118" s="23"/>
      <c r="F118" s="37"/>
    </row>
    <row r="119" spans="3:7" ht="15" x14ac:dyDescent="0.25">
      <c r="E119" s="23"/>
      <c r="F119" s="23"/>
    </row>
    <row r="120" spans="3:7" ht="15" x14ac:dyDescent="0.25">
      <c r="E120" s="23"/>
      <c r="F120" s="23"/>
    </row>
    <row r="121" spans="3:7" ht="15" x14ac:dyDescent="0.25">
      <c r="E121" s="23"/>
      <c r="F121" s="23"/>
    </row>
    <row r="122" spans="3:7" ht="15" x14ac:dyDescent="0.25">
      <c r="E122" s="23"/>
      <c r="F122" s="37"/>
    </row>
    <row r="123" spans="3:7" ht="15" x14ac:dyDescent="0.25">
      <c r="E123" s="23"/>
      <c r="F123" s="37"/>
    </row>
    <row r="124" spans="3:7" ht="15" x14ac:dyDescent="0.25">
      <c r="E124" s="23"/>
      <c r="F124" s="37"/>
    </row>
    <row r="125" spans="3:7" ht="15" x14ac:dyDescent="0.25">
      <c r="E125" s="23"/>
      <c r="F125" s="23"/>
    </row>
    <row r="126" spans="3:7" ht="15" x14ac:dyDescent="0.25">
      <c r="E126" s="23"/>
      <c r="F126" s="23"/>
    </row>
    <row r="127" spans="3:7" ht="15" x14ac:dyDescent="0.25">
      <c r="E127" s="23"/>
      <c r="F127" s="37"/>
    </row>
    <row r="128" spans="3:7" ht="15" x14ac:dyDescent="0.25">
      <c r="E128" s="23"/>
      <c r="F128" s="23"/>
    </row>
    <row r="129" spans="3:6" ht="15" x14ac:dyDescent="0.25">
      <c r="E129" s="23"/>
      <c r="F129" s="37"/>
    </row>
    <row r="130" spans="3:6" ht="15" x14ac:dyDescent="0.25">
      <c r="E130" s="23"/>
      <c r="F130" s="23"/>
    </row>
    <row r="131" spans="3:6" ht="15" x14ac:dyDescent="0.25">
      <c r="E131" s="23"/>
      <c r="F131" s="23"/>
    </row>
    <row r="132" spans="3:6" ht="15" x14ac:dyDescent="0.25">
      <c r="C132" s="20"/>
      <c r="E132" s="23"/>
      <c r="F132" s="37"/>
    </row>
    <row r="133" spans="3:6" ht="15" x14ac:dyDescent="0.25">
      <c r="C133" s="20"/>
      <c r="E133" s="23"/>
      <c r="F133" s="37"/>
    </row>
    <row r="134" spans="3:6" ht="15" x14ac:dyDescent="0.25">
      <c r="C134" s="20"/>
      <c r="E134" s="23"/>
      <c r="F134" s="37"/>
    </row>
    <row r="135" spans="3:6" ht="15" x14ac:dyDescent="0.25">
      <c r="C135" s="20"/>
      <c r="E135" s="23"/>
      <c r="F135" s="23"/>
    </row>
    <row r="136" spans="3:6" ht="15" x14ac:dyDescent="0.25">
      <c r="C136" s="20"/>
      <c r="E136" s="23"/>
      <c r="F136" s="23"/>
    </row>
    <row r="137" spans="3:6" ht="15" x14ac:dyDescent="0.25">
      <c r="C137" s="20"/>
      <c r="E137" s="23"/>
      <c r="F137" s="37"/>
    </row>
    <row r="138" spans="3:6" ht="15" x14ac:dyDescent="0.25">
      <c r="C138" s="20"/>
      <c r="E138" s="23"/>
      <c r="F138" s="37"/>
    </row>
    <row r="139" spans="3:6" ht="15" x14ac:dyDescent="0.25">
      <c r="C139" s="20"/>
      <c r="E139" s="23"/>
      <c r="F139" s="37"/>
    </row>
    <row r="140" spans="3:6" ht="15" x14ac:dyDescent="0.25">
      <c r="C140" s="20"/>
      <c r="E140" s="23"/>
      <c r="F140" s="37"/>
    </row>
    <row r="141" spans="3:6" ht="15" x14ac:dyDescent="0.25">
      <c r="C141" s="20"/>
      <c r="E141" s="23"/>
      <c r="F141" s="23"/>
    </row>
    <row r="142" spans="3:6" ht="15" x14ac:dyDescent="0.25">
      <c r="C142" s="20"/>
      <c r="E142" s="23"/>
      <c r="F142" s="37"/>
    </row>
    <row r="143" spans="3:6" ht="15" x14ac:dyDescent="0.25">
      <c r="C143" s="20"/>
      <c r="E143" s="23"/>
      <c r="F143" s="37"/>
    </row>
    <row r="144" spans="3:6" ht="15" x14ac:dyDescent="0.25">
      <c r="C144" s="20"/>
      <c r="E144" s="23"/>
      <c r="F144" s="23"/>
    </row>
    <row r="145" spans="3:6" ht="15" x14ac:dyDescent="0.25">
      <c r="C145" s="20"/>
      <c r="E145" s="23"/>
      <c r="F145" s="37"/>
    </row>
    <row r="146" spans="3:6" ht="15" x14ac:dyDescent="0.25">
      <c r="E146" s="23"/>
      <c r="F146" s="23"/>
    </row>
    <row r="147" spans="3:6" ht="15" x14ac:dyDescent="0.25">
      <c r="E147" s="23"/>
      <c r="F147" s="23"/>
    </row>
    <row r="148" spans="3:6" ht="15" x14ac:dyDescent="0.25">
      <c r="E148" s="23"/>
      <c r="F148" s="23"/>
    </row>
    <row r="149" spans="3:6" ht="15" x14ac:dyDescent="0.25">
      <c r="E149" s="23"/>
      <c r="F149" s="23"/>
    </row>
    <row r="150" spans="3:6" ht="15" x14ac:dyDescent="0.25">
      <c r="E150" s="23"/>
      <c r="F150" s="37"/>
    </row>
    <row r="151" spans="3:6" ht="15" x14ac:dyDescent="0.25">
      <c r="E151" s="23"/>
      <c r="F151" s="23"/>
    </row>
    <row r="152" spans="3:6" ht="15" x14ac:dyDescent="0.25">
      <c r="E152" s="23"/>
      <c r="F152" s="23"/>
    </row>
    <row r="153" spans="3:6" ht="15" x14ac:dyDescent="0.25">
      <c r="E153" s="23"/>
      <c r="F153" s="23"/>
    </row>
    <row r="154" spans="3:6" ht="15" x14ac:dyDescent="0.25">
      <c r="E154" s="23"/>
      <c r="F154" s="23"/>
    </row>
    <row r="155" spans="3:6" ht="15" x14ac:dyDescent="0.25">
      <c r="E155" s="23"/>
      <c r="F155" s="23"/>
    </row>
    <row r="156" spans="3:6" ht="15" x14ac:dyDescent="0.25">
      <c r="E156" s="23"/>
      <c r="F156" s="23"/>
    </row>
    <row r="157" spans="3:6" ht="15" x14ac:dyDescent="0.25">
      <c r="E157" s="23"/>
      <c r="F157" s="23"/>
    </row>
    <row r="158" spans="3:6" ht="15" x14ac:dyDescent="0.25">
      <c r="E158" s="23"/>
      <c r="F158" s="23"/>
    </row>
    <row r="159" spans="3:6" ht="15" x14ac:dyDescent="0.25">
      <c r="E159" s="20"/>
      <c r="F159" s="20"/>
    </row>
    <row r="160" spans="3:6" ht="15" x14ac:dyDescent="0.25">
      <c r="E160" s="20"/>
      <c r="F160" s="20"/>
    </row>
    <row r="161" spans="5:6" ht="15" x14ac:dyDescent="0.25">
      <c r="E161" s="34"/>
      <c r="F161" s="34"/>
    </row>
    <row r="162" spans="5:6" ht="15" x14ac:dyDescent="0.25">
      <c r="E162" s="34"/>
      <c r="F162" s="34"/>
    </row>
    <row r="163" spans="5:6" ht="15" x14ac:dyDescent="0.25">
      <c r="E163" s="34"/>
      <c r="F163" s="34"/>
    </row>
    <row r="164" spans="5:6" ht="15" x14ac:dyDescent="0.25">
      <c r="E164" s="23"/>
      <c r="F164" s="23"/>
    </row>
    <row r="165" spans="5:6" ht="15" x14ac:dyDescent="0.25">
      <c r="E165" s="23"/>
      <c r="F165" s="23"/>
    </row>
    <row r="166" spans="5:6" ht="15" x14ac:dyDescent="0.25">
      <c r="E166" s="23"/>
      <c r="F166" s="23"/>
    </row>
    <row r="167" spans="5:6" ht="15" x14ac:dyDescent="0.25">
      <c r="E167" s="23"/>
      <c r="F167" s="23"/>
    </row>
    <row r="168" spans="5:6" ht="15" x14ac:dyDescent="0.25">
      <c r="E168" s="23"/>
      <c r="F168" s="23"/>
    </row>
    <row r="169" spans="5:6" ht="15" x14ac:dyDescent="0.25">
      <c r="E169" s="23"/>
      <c r="F169" s="23"/>
    </row>
    <row r="170" spans="5:6" ht="15" x14ac:dyDescent="0.25">
      <c r="E170" s="23"/>
      <c r="F170" s="23"/>
    </row>
    <row r="171" spans="5:6" ht="15" x14ac:dyDescent="0.25">
      <c r="E171" s="23"/>
      <c r="F171" s="23"/>
    </row>
    <row r="172" spans="5:6" ht="15" x14ac:dyDescent="0.25">
      <c r="E172" s="23"/>
      <c r="F172" s="23"/>
    </row>
    <row r="173" spans="5:6" ht="15" x14ac:dyDescent="0.25">
      <c r="E173" s="23"/>
      <c r="F173" s="23"/>
    </row>
    <row r="174" spans="5:6" ht="15" x14ac:dyDescent="0.25">
      <c r="E174" s="23"/>
      <c r="F174" s="23"/>
    </row>
    <row r="175" spans="5:6" ht="15" x14ac:dyDescent="0.25">
      <c r="E175" s="23"/>
      <c r="F175" s="23"/>
    </row>
    <row r="176" spans="5:6" ht="15" x14ac:dyDescent="0.25">
      <c r="E176" s="23"/>
      <c r="F176" s="23"/>
    </row>
    <row r="177" spans="5:6" ht="15" x14ac:dyDescent="0.25">
      <c r="E177" s="23"/>
      <c r="F177" s="23"/>
    </row>
    <row r="178" spans="5:6" ht="15" x14ac:dyDescent="0.25">
      <c r="E178" s="23"/>
      <c r="F178" s="23"/>
    </row>
    <row r="179" spans="5:6" ht="15" x14ac:dyDescent="0.25">
      <c r="E179" s="23"/>
      <c r="F179" s="23"/>
    </row>
    <row r="180" spans="5:6" ht="15" x14ac:dyDescent="0.25">
      <c r="E180" s="23"/>
      <c r="F180" s="23"/>
    </row>
    <row r="181" spans="5:6" ht="15" x14ac:dyDescent="0.25">
      <c r="E181" s="23"/>
      <c r="F181" s="23"/>
    </row>
    <row r="182" spans="5:6" ht="15" x14ac:dyDescent="0.25">
      <c r="E182" s="23"/>
      <c r="F182" s="23"/>
    </row>
    <row r="183" spans="5:6" ht="15" x14ac:dyDescent="0.25">
      <c r="E183" s="23"/>
      <c r="F183" s="23"/>
    </row>
    <row r="184" spans="5:6" ht="15" x14ac:dyDescent="0.25">
      <c r="E184" s="23"/>
      <c r="F184" s="23"/>
    </row>
    <row r="185" spans="5:6" ht="15" x14ac:dyDescent="0.25">
      <c r="E185" s="23"/>
      <c r="F185" s="23"/>
    </row>
    <row r="186" spans="5:6" ht="15" x14ac:dyDescent="0.25">
      <c r="E186" s="23"/>
      <c r="F186" s="23"/>
    </row>
    <row r="187" spans="5:6" ht="15" x14ac:dyDescent="0.25">
      <c r="E187" s="23"/>
      <c r="F187" s="23"/>
    </row>
    <row r="188" spans="5:6" ht="15" x14ac:dyDescent="0.25">
      <c r="E188" s="23"/>
      <c r="F188" s="23"/>
    </row>
    <row r="189" spans="5:6" ht="15" x14ac:dyDescent="0.25">
      <c r="E189" s="23"/>
      <c r="F189" s="23"/>
    </row>
    <row r="190" spans="5:6" ht="15" x14ac:dyDescent="0.25">
      <c r="E190" s="23"/>
      <c r="F190" s="23"/>
    </row>
    <row r="191" spans="5:6" ht="15" x14ac:dyDescent="0.25">
      <c r="E191" s="23"/>
      <c r="F191" s="23"/>
    </row>
    <row r="192" spans="5:6" ht="15" x14ac:dyDescent="0.25">
      <c r="E192" s="23"/>
      <c r="F192" s="23"/>
    </row>
    <row r="193" spans="5:6" ht="15" x14ac:dyDescent="0.25">
      <c r="E193" s="23"/>
      <c r="F193" s="23"/>
    </row>
    <row r="194" spans="5:6" ht="15" x14ac:dyDescent="0.25">
      <c r="E194" s="23"/>
      <c r="F194" s="23"/>
    </row>
    <row r="195" spans="5:6" ht="15" x14ac:dyDescent="0.25">
      <c r="E195" s="23"/>
      <c r="F195" s="23"/>
    </row>
    <row r="196" spans="5:6" ht="15" x14ac:dyDescent="0.25">
      <c r="E196" s="23"/>
      <c r="F196" s="23"/>
    </row>
    <row r="197" spans="5:6" ht="15" x14ac:dyDescent="0.25">
      <c r="E197" s="23"/>
      <c r="F197" s="23"/>
    </row>
    <row r="198" spans="5:6" ht="15" x14ac:dyDescent="0.25">
      <c r="E198" s="23"/>
      <c r="F198" s="23"/>
    </row>
    <row r="199" spans="5:6" ht="15" x14ac:dyDescent="0.25">
      <c r="E199" s="23"/>
      <c r="F199" s="23"/>
    </row>
    <row r="200" spans="5:6" ht="15" x14ac:dyDescent="0.25">
      <c r="E200" s="23"/>
      <c r="F200" s="23"/>
    </row>
    <row r="201" spans="5:6" ht="15" x14ac:dyDescent="0.25">
      <c r="E201" s="23"/>
      <c r="F201" s="37"/>
    </row>
    <row r="202" spans="5:6" ht="102" x14ac:dyDescent="0.2">
      <c r="E202" s="38" t="s">
        <v>672</v>
      </c>
    </row>
  </sheetData>
  <sheetProtection algorithmName="SHA-512" hashValue="TikHbUFq6DxjMQwWAbban5BpZd7GpToicp3r6ua2tO+a/r6UK5BMTN4LyklDB+maoWqUISi4oN6+H4Qfk0W2ow==" saltValue="+TzRtixYLtET/uZ7NnRN1A==" spinCount="100000" sheet="1" objects="1" scenarios="1"/>
  <mergeCells count="4">
    <mergeCell ref="A1:B2"/>
    <mergeCell ref="C1:C2"/>
    <mergeCell ref="F1:F2"/>
    <mergeCell ref="E1:E2"/>
  </mergeCells>
  <phoneticPr fontId="55" type="noConversion"/>
  <pageMargins left="0.7" right="0.7" top="0.75" bottom="0.75" header="0.3" footer="0.3"/>
  <pageSetup paperSize="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03"/>
  <sheetViews>
    <sheetView topLeftCell="A136" workbookViewId="0">
      <selection activeCell="B152" sqref="B152:U154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0.7109375" style="5" customWidth="1"/>
    <col min="9" max="9" width="10.7109375" style="6" customWidth="1"/>
    <col min="10" max="10" width="10.7109375" style="11" customWidth="1"/>
    <col min="11" max="11" width="10.7109375" style="8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28" s="1" customFormat="1" ht="15" customHeight="1" thickBot="1" x14ac:dyDescent="0.35">
      <c r="A1" s="42"/>
      <c r="B1" s="927" t="s">
        <v>12</v>
      </c>
      <c r="C1" s="928"/>
      <c r="D1" s="928"/>
      <c r="E1" s="928"/>
      <c r="F1" s="928"/>
      <c r="G1" s="929" t="s">
        <v>706</v>
      </c>
      <c r="H1" s="929"/>
      <c r="I1" s="153"/>
      <c r="J1" s="153"/>
      <c r="K1" s="930" t="s">
        <v>707</v>
      </c>
      <c r="L1" s="930"/>
      <c r="M1" s="154" t="s">
        <v>707</v>
      </c>
      <c r="N1" s="931" t="s">
        <v>4</v>
      </c>
      <c r="O1" s="931"/>
      <c r="P1" s="931" t="s">
        <v>710</v>
      </c>
      <c r="Q1" s="931"/>
      <c r="R1" s="931"/>
      <c r="S1" s="931"/>
      <c r="T1" s="811" t="s">
        <v>22</v>
      </c>
      <c r="U1" s="812"/>
    </row>
    <row r="2" spans="1:28" s="1" customFormat="1" ht="15" customHeight="1" x14ac:dyDescent="0.3">
      <c r="A2" s="620"/>
      <c r="B2" s="945" t="s">
        <v>712</v>
      </c>
      <c r="C2" s="946"/>
      <c r="D2" s="946"/>
      <c r="E2" s="946"/>
      <c r="F2" s="947"/>
      <c r="G2" s="948" t="s">
        <v>706</v>
      </c>
      <c r="H2" s="949"/>
      <c r="I2" s="949"/>
      <c r="J2" s="949"/>
      <c r="K2" s="949"/>
      <c r="L2" s="949"/>
      <c r="M2" s="950"/>
      <c r="N2" s="951" t="s">
        <v>710</v>
      </c>
      <c r="O2" s="952"/>
      <c r="P2" s="952"/>
      <c r="Q2" s="952"/>
      <c r="R2" s="952"/>
      <c r="S2" s="953"/>
      <c r="T2" s="195" t="str">
        <f>IF(ISNUMBER(LEFT(U2,1)*1),"","#")</f>
        <v>#</v>
      </c>
      <c r="U2" s="194" t="s">
        <v>708</v>
      </c>
    </row>
    <row r="3" spans="1:28" s="1" customFormat="1" ht="15" customHeight="1" thickBot="1" x14ac:dyDescent="0.35">
      <c r="A3" s="722"/>
      <c r="B3" s="954" t="s">
        <v>709</v>
      </c>
      <c r="C3" s="955"/>
      <c r="D3" s="955"/>
      <c r="E3" s="955"/>
      <c r="F3" s="956"/>
      <c r="G3" s="957" t="s">
        <v>709</v>
      </c>
      <c r="H3" s="958"/>
      <c r="I3" s="958"/>
      <c r="J3" s="958"/>
      <c r="K3" s="958"/>
      <c r="L3" s="958"/>
      <c r="M3" s="959"/>
      <c r="N3" s="809" t="s">
        <v>710</v>
      </c>
      <c r="O3" s="810"/>
      <c r="P3" s="810"/>
      <c r="Q3" s="810"/>
      <c r="R3" s="810"/>
      <c r="S3" s="960"/>
      <c r="T3" s="938" t="s">
        <v>708</v>
      </c>
      <c r="U3" s="939"/>
    </row>
    <row r="4" spans="1:28" ht="15" customHeight="1" x14ac:dyDescent="0.25">
      <c r="A4" s="710"/>
      <c r="B4" s="940"/>
      <c r="C4" s="940"/>
      <c r="D4" s="940"/>
      <c r="E4" s="940"/>
      <c r="F4" s="940"/>
      <c r="G4" s="941"/>
      <c r="H4" s="46"/>
      <c r="I4" s="47"/>
      <c r="J4" s="942" t="s">
        <v>11</v>
      </c>
      <c r="K4" s="943"/>
      <c r="L4" s="935" t="s">
        <v>704</v>
      </c>
      <c r="M4" s="936"/>
      <c r="N4" s="937"/>
      <c r="O4" s="936"/>
      <c r="P4" s="937"/>
      <c r="Q4" s="936"/>
      <c r="R4" s="937"/>
      <c r="S4" s="936"/>
      <c r="T4" s="937"/>
      <c r="U4" s="944"/>
      <c r="Z4" s="18" t="s">
        <v>693</v>
      </c>
    </row>
    <row r="5" spans="1:28" ht="15" customHeight="1" thickBot="1" x14ac:dyDescent="0.25">
      <c r="A5" s="711"/>
      <c r="B5" s="734"/>
      <c r="C5" s="734"/>
      <c r="D5" s="734"/>
      <c r="E5" s="734"/>
      <c r="F5" s="734"/>
      <c r="G5" s="735"/>
      <c r="H5" s="50"/>
      <c r="I5" s="47"/>
      <c r="J5" s="156" t="s">
        <v>709</v>
      </c>
      <c r="K5" s="52" t="s">
        <v>711</v>
      </c>
      <c r="L5" s="965" t="s">
        <v>705</v>
      </c>
      <c r="M5" s="654"/>
      <c r="N5" s="653"/>
      <c r="O5" s="654"/>
      <c r="P5" s="653"/>
      <c r="Q5" s="654"/>
      <c r="R5" s="653"/>
      <c r="S5" s="654"/>
      <c r="T5" s="653"/>
      <c r="U5" s="745"/>
    </row>
    <row r="6" spans="1:28" s="3" customFormat="1" ht="15" customHeight="1" x14ac:dyDescent="0.3">
      <c r="A6" s="619"/>
      <c r="B6" s="932" t="s">
        <v>710</v>
      </c>
      <c r="C6" s="933"/>
      <c r="D6" s="933"/>
      <c r="E6" s="933"/>
      <c r="F6" s="933"/>
      <c r="G6" s="934"/>
      <c r="H6" s="206" t="s">
        <v>712</v>
      </c>
      <c r="I6" s="120" t="s">
        <v>709</v>
      </c>
      <c r="J6" s="277"/>
      <c r="K6" s="278"/>
      <c r="L6" s="935"/>
      <c r="M6" s="936"/>
      <c r="N6" s="937"/>
      <c r="O6" s="936"/>
      <c r="P6" s="937"/>
      <c r="Q6" s="936"/>
      <c r="R6" s="937"/>
      <c r="S6" s="936"/>
      <c r="T6" s="937"/>
      <c r="U6" s="944"/>
      <c r="W6" s="12"/>
      <c r="X6" s="12"/>
      <c r="Y6" s="12"/>
      <c r="Z6" s="12"/>
      <c r="AA6" s="1"/>
      <c r="AB6" s="1"/>
    </row>
    <row r="7" spans="1:28" s="3" customFormat="1" ht="15" customHeight="1" x14ac:dyDescent="0.2">
      <c r="A7" s="620"/>
      <c r="B7" s="59"/>
      <c r="C7" s="640"/>
      <c r="D7" s="640"/>
      <c r="E7" s="640"/>
      <c r="F7" s="640"/>
      <c r="G7" s="641"/>
      <c r="H7" s="60"/>
      <c r="I7" s="78"/>
      <c r="J7" s="227"/>
      <c r="K7" s="279"/>
      <c r="L7" s="961"/>
      <c r="M7" s="962"/>
      <c r="N7" s="963"/>
      <c r="O7" s="962"/>
      <c r="P7" s="963"/>
      <c r="Q7" s="962"/>
      <c r="R7" s="963"/>
      <c r="S7" s="962"/>
      <c r="T7" s="963"/>
      <c r="U7" s="964"/>
      <c r="W7" s="12"/>
      <c r="X7" s="12"/>
      <c r="Y7" s="12"/>
      <c r="Z7" s="12"/>
      <c r="AA7" s="2"/>
      <c r="AB7" s="2"/>
    </row>
    <row r="8" spans="1:28" s="3" customFormat="1" ht="15" customHeight="1" x14ac:dyDescent="0.2">
      <c r="A8" s="620"/>
      <c r="B8" s="966"/>
      <c r="C8" s="967"/>
      <c r="D8" s="967"/>
      <c r="E8" s="967"/>
      <c r="F8" s="967"/>
      <c r="G8" s="968"/>
      <c r="H8" s="63"/>
      <c r="I8" s="64"/>
      <c r="J8" s="280"/>
      <c r="K8" s="281"/>
      <c r="L8" s="935"/>
      <c r="M8" s="936"/>
      <c r="N8" s="937"/>
      <c r="O8" s="936"/>
      <c r="P8" s="937"/>
      <c r="Q8" s="936"/>
      <c r="R8" s="937"/>
      <c r="S8" s="936"/>
      <c r="T8" s="937"/>
      <c r="U8" s="944"/>
      <c r="W8" s="12"/>
      <c r="X8" s="12"/>
      <c r="Y8" s="12"/>
      <c r="Z8" s="12"/>
    </row>
    <row r="9" spans="1:28" s="3" customFormat="1" ht="15" customHeight="1" x14ac:dyDescent="0.2">
      <c r="A9" s="620"/>
      <c r="B9" s="59"/>
      <c r="C9" s="640"/>
      <c r="D9" s="640"/>
      <c r="E9" s="640"/>
      <c r="F9" s="640"/>
      <c r="G9" s="641"/>
      <c r="H9" s="66"/>
      <c r="I9" s="119"/>
      <c r="J9" s="231"/>
      <c r="K9" s="275"/>
      <c r="L9" s="961"/>
      <c r="M9" s="962"/>
      <c r="N9" s="963"/>
      <c r="O9" s="962"/>
      <c r="P9" s="963"/>
      <c r="Q9" s="962"/>
      <c r="R9" s="963"/>
      <c r="S9" s="962"/>
      <c r="T9" s="963"/>
      <c r="U9" s="964"/>
      <c r="W9" s="12"/>
      <c r="X9" s="12"/>
      <c r="Y9" s="12"/>
      <c r="Z9" s="12"/>
    </row>
    <row r="10" spans="1:28" s="3" customFormat="1" ht="15" customHeight="1" x14ac:dyDescent="0.2">
      <c r="A10" s="620"/>
      <c r="B10" s="966"/>
      <c r="C10" s="967"/>
      <c r="D10" s="967"/>
      <c r="E10" s="967"/>
      <c r="F10" s="967"/>
      <c r="G10" s="968"/>
      <c r="H10" s="63"/>
      <c r="I10" s="64"/>
      <c r="J10" s="273"/>
      <c r="K10" s="274"/>
      <c r="L10" s="935"/>
      <c r="M10" s="936"/>
      <c r="N10" s="937"/>
      <c r="O10" s="936"/>
      <c r="P10" s="937"/>
      <c r="Q10" s="936"/>
      <c r="R10" s="937"/>
      <c r="S10" s="936"/>
      <c r="T10" s="937"/>
      <c r="U10" s="944"/>
      <c r="W10" s="13"/>
      <c r="X10" s="13"/>
    </row>
    <row r="11" spans="1:28" s="3" customFormat="1" ht="15" customHeight="1" x14ac:dyDescent="0.2">
      <c r="A11" s="620"/>
      <c r="B11" s="59"/>
      <c r="C11" s="640"/>
      <c r="D11" s="640"/>
      <c r="E11" s="640"/>
      <c r="F11" s="640"/>
      <c r="G11" s="641"/>
      <c r="H11" s="66"/>
      <c r="I11" s="119"/>
      <c r="J11" s="231"/>
      <c r="K11" s="275"/>
      <c r="L11" s="961"/>
      <c r="M11" s="962"/>
      <c r="N11" s="963"/>
      <c r="O11" s="962"/>
      <c r="P11" s="963"/>
      <c r="Q11" s="962"/>
      <c r="R11" s="963"/>
      <c r="S11" s="962"/>
      <c r="T11" s="963"/>
      <c r="U11" s="964"/>
      <c r="W11" s="7"/>
      <c r="X11" s="7"/>
    </row>
    <row r="12" spans="1:28" s="3" customFormat="1" ht="15" customHeight="1" x14ac:dyDescent="0.2">
      <c r="A12" s="620"/>
      <c r="B12" s="966"/>
      <c r="C12" s="967"/>
      <c r="D12" s="967"/>
      <c r="E12" s="967"/>
      <c r="F12" s="967"/>
      <c r="G12" s="968"/>
      <c r="H12" s="63"/>
      <c r="I12" s="64"/>
      <c r="J12" s="273"/>
      <c r="K12" s="274"/>
      <c r="L12" s="969"/>
      <c r="M12" s="970"/>
      <c r="N12" s="971"/>
      <c r="O12" s="970"/>
      <c r="P12" s="971"/>
      <c r="Q12" s="970"/>
      <c r="R12" s="971"/>
      <c r="S12" s="970"/>
      <c r="T12" s="971"/>
      <c r="U12" s="972"/>
      <c r="W12" s="7"/>
      <c r="X12" s="7"/>
    </row>
    <row r="13" spans="1:28" s="3" customFormat="1" ht="15" customHeight="1" x14ac:dyDescent="0.2">
      <c r="A13" s="620"/>
      <c r="B13" s="59"/>
      <c r="C13" s="640"/>
      <c r="D13" s="640"/>
      <c r="E13" s="640"/>
      <c r="F13" s="640"/>
      <c r="G13" s="641"/>
      <c r="H13" s="66"/>
      <c r="I13" s="119"/>
      <c r="J13" s="231"/>
      <c r="K13" s="275"/>
      <c r="L13" s="961"/>
      <c r="M13" s="962"/>
      <c r="N13" s="963"/>
      <c r="O13" s="962"/>
      <c r="P13" s="963"/>
      <c r="Q13" s="962"/>
      <c r="R13" s="963"/>
      <c r="S13" s="962"/>
      <c r="T13" s="963"/>
      <c r="U13" s="964"/>
      <c r="W13" s="7"/>
      <c r="X13" s="7"/>
    </row>
    <row r="14" spans="1:28" s="3" customFormat="1" ht="15" customHeight="1" x14ac:dyDescent="0.2">
      <c r="A14" s="620"/>
      <c r="B14" s="966"/>
      <c r="C14" s="967"/>
      <c r="D14" s="967"/>
      <c r="E14" s="967"/>
      <c r="F14" s="967"/>
      <c r="G14" s="968"/>
      <c r="H14" s="63"/>
      <c r="I14" s="74"/>
      <c r="J14" s="273"/>
      <c r="K14" s="274"/>
      <c r="L14" s="969"/>
      <c r="M14" s="970"/>
      <c r="N14" s="971"/>
      <c r="O14" s="970"/>
      <c r="P14" s="971"/>
      <c r="Q14" s="970"/>
      <c r="R14" s="971"/>
      <c r="S14" s="970"/>
      <c r="T14" s="971"/>
      <c r="U14" s="972"/>
      <c r="W14" s="13"/>
      <c r="X14" s="13"/>
    </row>
    <row r="15" spans="1:28" s="3" customFormat="1" ht="15" customHeight="1" x14ac:dyDescent="0.2">
      <c r="A15" s="620"/>
      <c r="B15" s="59"/>
      <c r="C15" s="640"/>
      <c r="D15" s="640"/>
      <c r="E15" s="640"/>
      <c r="F15" s="640"/>
      <c r="G15" s="641"/>
      <c r="H15" s="66"/>
      <c r="I15" s="119"/>
      <c r="J15" s="231"/>
      <c r="K15" s="275"/>
      <c r="L15" s="961"/>
      <c r="M15" s="962"/>
      <c r="N15" s="963"/>
      <c r="O15" s="962"/>
      <c r="P15" s="963"/>
      <c r="Q15" s="962"/>
      <c r="R15" s="963"/>
      <c r="S15" s="962"/>
      <c r="T15" s="963"/>
      <c r="U15" s="964"/>
      <c r="W15" s="13"/>
      <c r="X15" s="13"/>
    </row>
    <row r="16" spans="1:28" s="3" customFormat="1" ht="15" customHeight="1" x14ac:dyDescent="0.2">
      <c r="A16" s="620"/>
      <c r="B16" s="966"/>
      <c r="C16" s="967"/>
      <c r="D16" s="967"/>
      <c r="E16" s="967"/>
      <c r="F16" s="967"/>
      <c r="G16" s="968"/>
      <c r="H16" s="63"/>
      <c r="I16" s="74"/>
      <c r="J16" s="273"/>
      <c r="K16" s="274"/>
      <c r="L16" s="935"/>
      <c r="M16" s="936"/>
      <c r="N16" s="937"/>
      <c r="O16" s="936"/>
      <c r="P16" s="937"/>
      <c r="Q16" s="936"/>
      <c r="R16" s="937"/>
      <c r="S16" s="936"/>
      <c r="T16" s="937"/>
      <c r="U16" s="944"/>
    </row>
    <row r="17" spans="1:24" s="3" customFormat="1" ht="15" customHeight="1" thickBot="1" x14ac:dyDescent="0.25">
      <c r="A17" s="620"/>
      <c r="B17" s="70"/>
      <c r="C17" s="743"/>
      <c r="D17" s="743"/>
      <c r="E17" s="743"/>
      <c r="F17" s="743"/>
      <c r="G17" s="744"/>
      <c r="H17" s="60"/>
      <c r="I17" s="78"/>
      <c r="J17" s="156"/>
      <c r="K17" s="276"/>
      <c r="L17" s="935"/>
      <c r="M17" s="936"/>
      <c r="N17" s="937"/>
      <c r="O17" s="936"/>
      <c r="P17" s="937"/>
      <c r="Q17" s="936"/>
      <c r="R17" s="937"/>
      <c r="S17" s="936"/>
      <c r="T17" s="937"/>
      <c r="U17" s="944"/>
      <c r="W17" s="13"/>
      <c r="X17" s="13"/>
    </row>
    <row r="18" spans="1:24" ht="15" customHeight="1" x14ac:dyDescent="0.2">
      <c r="A18" s="621"/>
      <c r="B18" s="973"/>
      <c r="C18" s="974"/>
      <c r="D18" s="974"/>
      <c r="E18" s="974"/>
      <c r="F18" s="974"/>
      <c r="G18" s="975"/>
      <c r="H18" s="54"/>
      <c r="I18" s="120"/>
      <c r="J18" s="234"/>
      <c r="K18" s="235"/>
      <c r="L18" s="976"/>
      <c r="M18" s="977"/>
      <c r="N18" s="500"/>
      <c r="O18" s="501"/>
      <c r="P18" s="500"/>
      <c r="Q18" s="501"/>
      <c r="R18" s="500"/>
      <c r="S18" s="501"/>
      <c r="T18" s="500"/>
      <c r="U18" s="988"/>
      <c r="W18" s="13"/>
      <c r="X18" s="13"/>
    </row>
    <row r="19" spans="1:24" ht="15" customHeight="1" x14ac:dyDescent="0.2">
      <c r="A19" s="622"/>
      <c r="B19" s="989"/>
      <c r="C19" s="990"/>
      <c r="D19" s="990"/>
      <c r="E19" s="990"/>
      <c r="F19" s="990"/>
      <c r="G19" s="991"/>
      <c r="H19" s="60"/>
      <c r="I19" s="119"/>
      <c r="J19" s="156"/>
      <c r="K19" s="52"/>
      <c r="L19" s="992"/>
      <c r="M19" s="993"/>
      <c r="N19" s="963"/>
      <c r="O19" s="962"/>
      <c r="P19" s="963"/>
      <c r="Q19" s="962"/>
      <c r="R19" s="963"/>
      <c r="S19" s="962"/>
      <c r="T19" s="963"/>
      <c r="U19" s="964"/>
    </row>
    <row r="20" spans="1:24" s="3" customFormat="1" ht="15" customHeight="1" x14ac:dyDescent="0.2">
      <c r="A20" s="622"/>
      <c r="B20" s="978"/>
      <c r="C20" s="979"/>
      <c r="D20" s="979"/>
      <c r="E20" s="979"/>
      <c r="F20" s="979"/>
      <c r="G20" s="980"/>
      <c r="H20" s="63"/>
      <c r="I20" s="74"/>
      <c r="J20" s="236"/>
      <c r="K20" s="237"/>
      <c r="L20" s="981"/>
      <c r="M20" s="982"/>
      <c r="N20" s="971"/>
      <c r="O20" s="970"/>
      <c r="P20" s="971"/>
      <c r="Q20" s="970"/>
      <c r="R20" s="971"/>
      <c r="S20" s="970"/>
      <c r="T20" s="971"/>
      <c r="U20" s="972"/>
    </row>
    <row r="21" spans="1:24" s="3" customFormat="1" ht="15" customHeight="1" thickBot="1" x14ac:dyDescent="0.25">
      <c r="A21" s="623"/>
      <c r="B21" s="983"/>
      <c r="C21" s="984"/>
      <c r="D21" s="984"/>
      <c r="E21" s="984"/>
      <c r="F21" s="984"/>
      <c r="G21" s="985"/>
      <c r="H21" s="75"/>
      <c r="I21" s="76"/>
      <c r="J21" s="238"/>
      <c r="K21" s="239"/>
      <c r="L21" s="986"/>
      <c r="M21" s="987"/>
      <c r="N21" s="653"/>
      <c r="O21" s="654"/>
      <c r="P21" s="653"/>
      <c r="Q21" s="654"/>
      <c r="R21" s="653"/>
      <c r="S21" s="654"/>
      <c r="T21" s="653"/>
      <c r="U21" s="745"/>
    </row>
    <row r="22" spans="1:24" s="3" customFormat="1" ht="15" customHeight="1" x14ac:dyDescent="0.2">
      <c r="A22" s="621" t="s">
        <v>0</v>
      </c>
      <c r="B22" s="645"/>
      <c r="C22" s="646"/>
      <c r="D22" s="646"/>
      <c r="E22" s="646"/>
      <c r="F22" s="646"/>
      <c r="G22" s="647"/>
      <c r="H22" s="54"/>
      <c r="I22" s="120"/>
      <c r="J22" s="234"/>
      <c r="K22" s="235"/>
      <c r="L22" s="998"/>
      <c r="M22" s="999"/>
      <c r="N22" s="999"/>
      <c r="O22" s="999"/>
      <c r="P22" s="999"/>
      <c r="Q22" s="999"/>
      <c r="R22" s="999"/>
      <c r="S22" s="999"/>
      <c r="T22" s="999"/>
      <c r="U22" s="1000"/>
    </row>
    <row r="23" spans="1:24" s="3" customFormat="1" ht="15" customHeight="1" thickBot="1" x14ac:dyDescent="0.25">
      <c r="A23" s="622"/>
      <c r="B23" s="639"/>
      <c r="C23" s="640"/>
      <c r="D23" s="640"/>
      <c r="E23" s="640"/>
      <c r="F23" s="640"/>
      <c r="G23" s="641"/>
      <c r="H23" s="60"/>
      <c r="I23" s="157"/>
      <c r="J23" s="156"/>
      <c r="K23" s="52"/>
      <c r="L23" s="1001"/>
      <c r="M23" s="1002"/>
      <c r="N23" s="1002"/>
      <c r="O23" s="1002"/>
      <c r="P23" s="1002"/>
      <c r="Q23" s="1002"/>
      <c r="R23" s="1002"/>
      <c r="S23" s="1002"/>
      <c r="T23" s="1002"/>
      <c r="U23" s="1003"/>
    </row>
    <row r="24" spans="1:24" s="3" customFormat="1" ht="15" customHeight="1" thickTop="1" x14ac:dyDescent="0.2">
      <c r="A24" s="622"/>
      <c r="B24" s="642" t="s">
        <v>71</v>
      </c>
      <c r="C24" s="643"/>
      <c r="D24" s="643"/>
      <c r="E24" s="643"/>
      <c r="F24" s="643"/>
      <c r="G24" s="644"/>
      <c r="H24" s="63" t="s">
        <v>787</v>
      </c>
      <c r="I24" s="74" t="s">
        <v>115</v>
      </c>
      <c r="J24" s="236" t="s">
        <v>21</v>
      </c>
      <c r="K24" s="237">
        <v>1</v>
      </c>
      <c r="L24" s="969"/>
      <c r="M24" s="970"/>
      <c r="N24" s="971"/>
      <c r="O24" s="970"/>
      <c r="P24" s="971"/>
      <c r="Q24" s="970"/>
      <c r="R24" s="971"/>
      <c r="S24" s="970"/>
      <c r="T24" s="971"/>
      <c r="U24" s="972"/>
      <c r="W24" s="994" t="s">
        <v>120</v>
      </c>
      <c r="X24" s="995"/>
    </row>
    <row r="25" spans="1:24" s="3" customFormat="1" ht="15" customHeight="1" thickBot="1" x14ac:dyDescent="0.25">
      <c r="A25" s="622"/>
      <c r="B25" s="648" t="s">
        <v>116</v>
      </c>
      <c r="C25" s="649"/>
      <c r="D25" s="649"/>
      <c r="E25" s="649"/>
      <c r="F25" s="649"/>
      <c r="G25" s="650"/>
      <c r="H25" s="60"/>
      <c r="I25" s="78"/>
      <c r="J25" s="156"/>
      <c r="K25" s="52"/>
      <c r="L25" s="961"/>
      <c r="M25" s="962"/>
      <c r="N25" s="963"/>
      <c r="O25" s="962"/>
      <c r="P25" s="963"/>
      <c r="Q25" s="962"/>
      <c r="R25" s="963"/>
      <c r="S25" s="962"/>
      <c r="T25" s="963"/>
      <c r="U25" s="964"/>
      <c r="W25" s="996"/>
      <c r="X25" s="997"/>
    </row>
    <row r="26" spans="1:24" s="3" customFormat="1" ht="15" customHeight="1" thickTop="1" x14ac:dyDescent="0.2">
      <c r="A26" s="622"/>
      <c r="B26" s="642" t="s">
        <v>71</v>
      </c>
      <c r="C26" s="643"/>
      <c r="D26" s="643"/>
      <c r="E26" s="643"/>
      <c r="F26" s="643"/>
      <c r="G26" s="644"/>
      <c r="H26" s="63" t="s">
        <v>787</v>
      </c>
      <c r="I26" s="74" t="s">
        <v>118</v>
      </c>
      <c r="J26" s="236" t="s">
        <v>21</v>
      </c>
      <c r="K26" s="237">
        <v>1</v>
      </c>
      <c r="L26" s="969"/>
      <c r="M26" s="970"/>
      <c r="N26" s="971"/>
      <c r="O26" s="970"/>
      <c r="P26" s="971"/>
      <c r="Q26" s="970"/>
      <c r="R26" s="971"/>
      <c r="S26" s="970"/>
      <c r="T26" s="971"/>
      <c r="U26" s="972"/>
      <c r="W26" s="1004" t="s">
        <v>127</v>
      </c>
      <c r="X26" s="1005"/>
    </row>
    <row r="27" spans="1:24" s="3" customFormat="1" ht="15" customHeight="1" thickBot="1" x14ac:dyDescent="0.25">
      <c r="A27" s="622"/>
      <c r="B27" s="639" t="s">
        <v>119</v>
      </c>
      <c r="C27" s="640"/>
      <c r="D27" s="640"/>
      <c r="E27" s="640"/>
      <c r="F27" s="640"/>
      <c r="G27" s="641"/>
      <c r="H27" s="60"/>
      <c r="I27" s="78"/>
      <c r="J27" s="156"/>
      <c r="K27" s="52"/>
      <c r="L27" s="961"/>
      <c r="M27" s="962"/>
      <c r="N27" s="963"/>
      <c r="O27" s="962"/>
      <c r="P27" s="963"/>
      <c r="Q27" s="962"/>
      <c r="R27" s="963"/>
      <c r="S27" s="962"/>
      <c r="T27" s="963"/>
      <c r="U27" s="964"/>
      <c r="W27" s="1006"/>
      <c r="X27" s="1007"/>
    </row>
    <row r="28" spans="1:24" s="3" customFormat="1" ht="15" customHeight="1" thickTop="1" x14ac:dyDescent="0.2">
      <c r="A28" s="622"/>
      <c r="B28" s="642" t="s">
        <v>71</v>
      </c>
      <c r="C28" s="643"/>
      <c r="D28" s="643"/>
      <c r="E28" s="643"/>
      <c r="F28" s="643"/>
      <c r="G28" s="644"/>
      <c r="H28" s="63" t="s">
        <v>787</v>
      </c>
      <c r="I28" s="74" t="s">
        <v>117</v>
      </c>
      <c r="J28" s="236" t="s">
        <v>21</v>
      </c>
      <c r="K28" s="237">
        <v>1</v>
      </c>
      <c r="L28" s="969"/>
      <c r="M28" s="970"/>
      <c r="N28" s="971"/>
      <c r="O28" s="970"/>
      <c r="P28" s="971"/>
      <c r="Q28" s="970"/>
      <c r="R28" s="971"/>
      <c r="S28" s="970"/>
      <c r="T28" s="971"/>
      <c r="U28" s="972"/>
      <c r="W28" s="1008" t="s">
        <v>611</v>
      </c>
      <c r="X28" s="1009"/>
    </row>
    <row r="29" spans="1:24" s="3" customFormat="1" ht="15" customHeight="1" thickBot="1" x14ac:dyDescent="0.25">
      <c r="A29" s="622"/>
      <c r="B29" s="639" t="s">
        <v>113</v>
      </c>
      <c r="C29" s="640"/>
      <c r="D29" s="640"/>
      <c r="E29" s="640"/>
      <c r="F29" s="640"/>
      <c r="G29" s="641"/>
      <c r="H29" s="66"/>
      <c r="I29" s="119"/>
      <c r="J29" s="242"/>
      <c r="K29" s="243"/>
      <c r="L29" s="961"/>
      <c r="M29" s="962"/>
      <c r="N29" s="963"/>
      <c r="O29" s="962"/>
      <c r="P29" s="963"/>
      <c r="Q29" s="962"/>
      <c r="R29" s="963"/>
      <c r="S29" s="962"/>
      <c r="T29" s="963"/>
      <c r="U29" s="964"/>
      <c r="W29" s="1010"/>
      <c r="X29" s="1011"/>
    </row>
    <row r="30" spans="1:24" s="3" customFormat="1" ht="15" customHeight="1" thickTop="1" x14ac:dyDescent="0.2">
      <c r="A30" s="622"/>
      <c r="B30" s="642" t="s">
        <v>71</v>
      </c>
      <c r="C30" s="643"/>
      <c r="D30" s="643"/>
      <c r="E30" s="643"/>
      <c r="F30" s="643"/>
      <c r="G30" s="644"/>
      <c r="H30" s="63" t="s">
        <v>787</v>
      </c>
      <c r="I30" s="74" t="s">
        <v>696</v>
      </c>
      <c r="J30" s="236" t="s">
        <v>21</v>
      </c>
      <c r="K30" s="237">
        <v>1</v>
      </c>
      <c r="L30" s="969"/>
      <c r="M30" s="970"/>
      <c r="N30" s="971"/>
      <c r="O30" s="970"/>
      <c r="P30" s="971"/>
      <c r="Q30" s="970"/>
      <c r="R30" s="971"/>
      <c r="S30" s="970"/>
      <c r="T30" s="971"/>
      <c r="U30" s="972"/>
      <c r="W30" s="1012" t="s">
        <v>126</v>
      </c>
      <c r="X30" s="1013"/>
    </row>
    <row r="31" spans="1:24" s="3" customFormat="1" ht="15" customHeight="1" thickBot="1" x14ac:dyDescent="0.25">
      <c r="A31" s="622"/>
      <c r="B31" s="639" t="s">
        <v>610</v>
      </c>
      <c r="C31" s="640"/>
      <c r="D31" s="640"/>
      <c r="E31" s="640"/>
      <c r="F31" s="640"/>
      <c r="G31" s="641"/>
      <c r="H31" s="66"/>
      <c r="I31" s="119"/>
      <c r="J31" s="242"/>
      <c r="K31" s="243"/>
      <c r="L31" s="961"/>
      <c r="M31" s="962"/>
      <c r="N31" s="963"/>
      <c r="O31" s="962"/>
      <c r="P31" s="963"/>
      <c r="Q31" s="962"/>
      <c r="R31" s="963"/>
      <c r="S31" s="962"/>
      <c r="T31" s="963"/>
      <c r="U31" s="964"/>
      <c r="W31" s="1014"/>
      <c r="X31" s="1015"/>
    </row>
    <row r="32" spans="1:24" s="3" customFormat="1" ht="15" customHeight="1" thickTop="1" x14ac:dyDescent="0.2">
      <c r="A32" s="622"/>
      <c r="B32" s="642" t="s">
        <v>71</v>
      </c>
      <c r="C32" s="643"/>
      <c r="D32" s="643"/>
      <c r="E32" s="643"/>
      <c r="F32" s="643"/>
      <c r="G32" s="644"/>
      <c r="H32" s="63" t="s">
        <v>787</v>
      </c>
      <c r="I32" s="158" t="s">
        <v>697</v>
      </c>
      <c r="J32" s="269">
        <v>1</v>
      </c>
      <c r="K32" s="270">
        <v>1</v>
      </c>
      <c r="L32" s="969"/>
      <c r="M32" s="970"/>
      <c r="N32" s="971"/>
      <c r="O32" s="970"/>
      <c r="P32" s="971"/>
      <c r="Q32" s="970"/>
      <c r="R32" s="971"/>
      <c r="S32" s="970"/>
      <c r="T32" s="971"/>
      <c r="U32" s="972"/>
      <c r="W32" s="1012" t="s">
        <v>699</v>
      </c>
      <c r="X32" s="1013"/>
    </row>
    <row r="33" spans="1:24" s="3" customFormat="1" ht="15" customHeight="1" thickBot="1" x14ac:dyDescent="0.25">
      <c r="A33" s="622"/>
      <c r="B33" s="648" t="s">
        <v>698</v>
      </c>
      <c r="C33" s="649"/>
      <c r="D33" s="649"/>
      <c r="E33" s="649"/>
      <c r="F33" s="649"/>
      <c r="G33" s="650"/>
      <c r="H33" s="159"/>
      <c r="I33" s="129"/>
      <c r="J33" s="271"/>
      <c r="K33" s="272"/>
      <c r="L33" s="961"/>
      <c r="M33" s="962"/>
      <c r="N33" s="963"/>
      <c r="O33" s="962"/>
      <c r="P33" s="963"/>
      <c r="Q33" s="962"/>
      <c r="R33" s="963"/>
      <c r="S33" s="962"/>
      <c r="T33" s="963"/>
      <c r="U33" s="964"/>
      <c r="W33" s="1014"/>
      <c r="X33" s="1015"/>
    </row>
    <row r="34" spans="1:24" s="3" customFormat="1" ht="15" customHeight="1" thickTop="1" x14ac:dyDescent="0.2">
      <c r="A34" s="622"/>
      <c r="B34" s="642" t="s">
        <v>71</v>
      </c>
      <c r="C34" s="643"/>
      <c r="D34" s="643"/>
      <c r="E34" s="643"/>
      <c r="F34" s="643"/>
      <c r="G34" s="644"/>
      <c r="H34" s="63" t="s">
        <v>787</v>
      </c>
      <c r="I34" s="158" t="s">
        <v>72</v>
      </c>
      <c r="J34" s="269">
        <v>1</v>
      </c>
      <c r="K34" s="270">
        <v>1</v>
      </c>
      <c r="L34" s="969"/>
      <c r="M34" s="970"/>
      <c r="N34" s="971"/>
      <c r="O34" s="970"/>
      <c r="P34" s="971"/>
      <c r="Q34" s="970"/>
      <c r="R34" s="971"/>
      <c r="S34" s="970"/>
      <c r="T34" s="971"/>
      <c r="U34" s="972"/>
      <c r="W34" s="1016" t="s">
        <v>121</v>
      </c>
      <c r="X34" s="1017"/>
    </row>
    <row r="35" spans="1:24" s="3" customFormat="1" ht="15" customHeight="1" thickBot="1" x14ac:dyDescent="0.25">
      <c r="A35" s="622"/>
      <c r="B35" s="648" t="s">
        <v>114</v>
      </c>
      <c r="C35" s="649"/>
      <c r="D35" s="649"/>
      <c r="E35" s="649"/>
      <c r="F35" s="649"/>
      <c r="G35" s="650"/>
      <c r="H35" s="159"/>
      <c r="I35" s="129"/>
      <c r="J35" s="271"/>
      <c r="K35" s="272"/>
      <c r="L35" s="961"/>
      <c r="M35" s="962"/>
      <c r="N35" s="963"/>
      <c r="O35" s="962"/>
      <c r="P35" s="963"/>
      <c r="Q35" s="962"/>
      <c r="R35" s="963"/>
      <c r="S35" s="962"/>
      <c r="T35" s="963"/>
      <c r="U35" s="964"/>
      <c r="W35" s="1018"/>
      <c r="X35" s="1019"/>
    </row>
    <row r="36" spans="1:24" s="3" customFormat="1" ht="15" customHeight="1" thickTop="1" x14ac:dyDescent="0.2">
      <c r="A36" s="622"/>
      <c r="B36" s="642" t="s">
        <v>71</v>
      </c>
      <c r="C36" s="643"/>
      <c r="D36" s="643"/>
      <c r="E36" s="643"/>
      <c r="F36" s="643"/>
      <c r="G36" s="644"/>
      <c r="H36" s="63" t="s">
        <v>787</v>
      </c>
      <c r="I36" s="158" t="s">
        <v>124</v>
      </c>
      <c r="J36" s="269">
        <v>1</v>
      </c>
      <c r="K36" s="270">
        <v>1</v>
      </c>
      <c r="L36" s="969"/>
      <c r="M36" s="970"/>
      <c r="N36" s="971"/>
      <c r="O36" s="970"/>
      <c r="P36" s="971"/>
      <c r="Q36" s="970"/>
      <c r="R36" s="971"/>
      <c r="S36" s="970"/>
      <c r="T36" s="971"/>
      <c r="U36" s="972"/>
      <c r="W36" s="1020" t="s">
        <v>123</v>
      </c>
      <c r="X36" s="1021"/>
    </row>
    <row r="37" spans="1:24" s="3" customFormat="1" ht="15" customHeight="1" thickBot="1" x14ac:dyDescent="0.25">
      <c r="A37" s="622"/>
      <c r="B37" s="648" t="s">
        <v>122</v>
      </c>
      <c r="C37" s="649"/>
      <c r="D37" s="649"/>
      <c r="E37" s="649"/>
      <c r="F37" s="649"/>
      <c r="G37" s="650"/>
      <c r="H37" s="159"/>
      <c r="I37" s="129"/>
      <c r="J37" s="271"/>
      <c r="K37" s="243"/>
      <c r="L37" s="961"/>
      <c r="M37" s="962"/>
      <c r="N37" s="963"/>
      <c r="O37" s="962"/>
      <c r="P37" s="963"/>
      <c r="Q37" s="962"/>
      <c r="R37" s="963"/>
      <c r="S37" s="962"/>
      <c r="T37" s="963"/>
      <c r="U37" s="964"/>
      <c r="W37" s="1022"/>
      <c r="X37" s="1023"/>
    </row>
    <row r="38" spans="1:24" s="3" customFormat="1" ht="15" customHeight="1" thickTop="1" x14ac:dyDescent="0.2">
      <c r="A38" s="622"/>
      <c r="B38" s="636" t="s">
        <v>71</v>
      </c>
      <c r="C38" s="637"/>
      <c r="D38" s="637"/>
      <c r="E38" s="637"/>
      <c r="F38" s="637"/>
      <c r="G38" s="638"/>
      <c r="H38" s="63" t="s">
        <v>787</v>
      </c>
      <c r="I38" s="158" t="s">
        <v>280</v>
      </c>
      <c r="J38" s="269">
        <v>1</v>
      </c>
      <c r="K38" s="270">
        <v>1</v>
      </c>
      <c r="L38" s="969"/>
      <c r="M38" s="970"/>
      <c r="N38" s="971"/>
      <c r="O38" s="970"/>
      <c r="P38" s="971"/>
      <c r="Q38" s="970"/>
      <c r="R38" s="971"/>
      <c r="S38" s="970"/>
      <c r="T38" s="971"/>
      <c r="U38" s="972"/>
      <c r="W38" s="1024" t="s">
        <v>128</v>
      </c>
      <c r="X38" s="1025"/>
    </row>
    <row r="39" spans="1:24" s="3" customFormat="1" ht="15" customHeight="1" thickBot="1" x14ac:dyDescent="0.25">
      <c r="A39" s="622"/>
      <c r="B39" s="639" t="s">
        <v>282</v>
      </c>
      <c r="C39" s="640"/>
      <c r="D39" s="640"/>
      <c r="E39" s="640"/>
      <c r="F39" s="640"/>
      <c r="G39" s="641"/>
      <c r="H39" s="159"/>
      <c r="I39" s="129"/>
      <c r="J39" s="271"/>
      <c r="K39" s="272"/>
      <c r="L39" s="961"/>
      <c r="M39" s="962"/>
      <c r="N39" s="963"/>
      <c r="O39" s="962"/>
      <c r="P39" s="963"/>
      <c r="Q39" s="962"/>
      <c r="R39" s="963"/>
      <c r="S39" s="962"/>
      <c r="T39" s="963"/>
      <c r="U39" s="964"/>
      <c r="W39" s="1026"/>
      <c r="X39" s="1027"/>
    </row>
    <row r="40" spans="1:24" s="3" customFormat="1" ht="15" customHeight="1" thickTop="1" x14ac:dyDescent="0.2">
      <c r="A40" s="622"/>
      <c r="B40" s="642" t="s">
        <v>71</v>
      </c>
      <c r="C40" s="643"/>
      <c r="D40" s="643"/>
      <c r="E40" s="643"/>
      <c r="F40" s="643"/>
      <c r="G40" s="644"/>
      <c r="H40" s="63" t="s">
        <v>787</v>
      </c>
      <c r="I40" s="158" t="s">
        <v>281</v>
      </c>
      <c r="J40" s="269">
        <v>1</v>
      </c>
      <c r="K40" s="270">
        <v>1</v>
      </c>
      <c r="L40" s="969"/>
      <c r="M40" s="970"/>
      <c r="N40" s="971"/>
      <c r="O40" s="970"/>
      <c r="P40" s="971"/>
      <c r="Q40" s="970"/>
      <c r="R40" s="971"/>
      <c r="S40" s="970"/>
      <c r="T40" s="971"/>
      <c r="U40" s="972"/>
      <c r="W40" s="1028" t="s">
        <v>129</v>
      </c>
      <c r="X40" s="1029"/>
    </row>
    <row r="41" spans="1:24" s="3" customFormat="1" ht="15" customHeight="1" thickBot="1" x14ac:dyDescent="0.25">
      <c r="A41" s="622"/>
      <c r="B41" s="639" t="s">
        <v>283</v>
      </c>
      <c r="C41" s="640"/>
      <c r="D41" s="640"/>
      <c r="E41" s="640"/>
      <c r="F41" s="640"/>
      <c r="G41" s="641"/>
      <c r="H41" s="159"/>
      <c r="I41" s="129"/>
      <c r="J41" s="271"/>
      <c r="K41" s="272"/>
      <c r="L41" s="961"/>
      <c r="M41" s="962"/>
      <c r="N41" s="963"/>
      <c r="O41" s="962"/>
      <c r="P41" s="963"/>
      <c r="Q41" s="962"/>
      <c r="R41" s="963"/>
      <c r="S41" s="962"/>
      <c r="T41" s="963"/>
      <c r="U41" s="964"/>
      <c r="W41" s="1030"/>
      <c r="X41" s="1031"/>
    </row>
    <row r="42" spans="1:24" s="3" customFormat="1" ht="15" customHeight="1" thickTop="1" x14ac:dyDescent="0.2">
      <c r="A42" s="622"/>
      <c r="B42" s="642" t="s">
        <v>780</v>
      </c>
      <c r="C42" s="643"/>
      <c r="D42" s="643"/>
      <c r="E42" s="643"/>
      <c r="F42" s="643"/>
      <c r="G42" s="644"/>
      <c r="H42" s="123" t="s">
        <v>782</v>
      </c>
      <c r="I42" s="158" t="s">
        <v>783</v>
      </c>
      <c r="J42" s="269"/>
      <c r="K42" s="270"/>
      <c r="L42" s="852" t="s">
        <v>751</v>
      </c>
      <c r="M42" s="853"/>
      <c r="N42" s="854"/>
      <c r="O42" s="853"/>
      <c r="P42" s="854"/>
      <c r="Q42" s="853"/>
      <c r="R42" s="854"/>
      <c r="S42" s="853"/>
      <c r="T42" s="854"/>
      <c r="U42" s="855"/>
      <c r="W42" s="828" t="s">
        <v>778</v>
      </c>
      <c r="X42" s="829"/>
    </row>
    <row r="43" spans="1:24" s="3" customFormat="1" ht="15" customHeight="1" thickBot="1" x14ac:dyDescent="0.25">
      <c r="A43" s="622"/>
      <c r="B43" s="840" t="s">
        <v>781</v>
      </c>
      <c r="C43" s="841"/>
      <c r="D43" s="841"/>
      <c r="E43" s="841"/>
      <c r="F43" s="841"/>
      <c r="G43" s="842"/>
      <c r="H43" s="85"/>
      <c r="I43" s="56"/>
      <c r="J43" s="268"/>
      <c r="K43" s="267"/>
      <c r="L43" s="160" t="s">
        <v>293</v>
      </c>
      <c r="M43" s="161" t="s">
        <v>361</v>
      </c>
      <c r="N43" s="161" t="s">
        <v>299</v>
      </c>
      <c r="O43" s="161" t="s">
        <v>305</v>
      </c>
      <c r="P43" s="161" t="s">
        <v>224</v>
      </c>
      <c r="Q43" s="161"/>
      <c r="R43" s="161"/>
      <c r="S43" s="161"/>
      <c r="T43" s="161"/>
      <c r="U43" s="162" t="s">
        <v>25</v>
      </c>
      <c r="W43" s="830"/>
      <c r="X43" s="831"/>
    </row>
    <row r="44" spans="1:24" s="3" customFormat="1" ht="15" customHeight="1" x14ac:dyDescent="0.2">
      <c r="A44" s="622"/>
      <c r="B44" s="719"/>
      <c r="C44" s="720"/>
      <c r="D44" s="720"/>
      <c r="E44" s="720"/>
      <c r="F44" s="720"/>
      <c r="G44" s="721"/>
      <c r="H44" s="695" t="s">
        <v>784</v>
      </c>
      <c r="I44" s="696"/>
      <c r="J44" s="696"/>
      <c r="K44" s="697"/>
      <c r="L44" s="163">
        <v>78</v>
      </c>
      <c r="M44" s="164">
        <v>80</v>
      </c>
      <c r="N44" s="164">
        <v>84</v>
      </c>
      <c r="O44" s="164">
        <v>88</v>
      </c>
      <c r="P44" s="207">
        <v>92</v>
      </c>
      <c r="Q44" s="166"/>
      <c r="R44" s="166"/>
      <c r="S44" s="166"/>
      <c r="T44" s="166"/>
      <c r="U44" s="201" t="s">
        <v>26</v>
      </c>
      <c r="W44" s="830"/>
      <c r="X44" s="831"/>
    </row>
    <row r="45" spans="1:24" s="3" customFormat="1" ht="15" customHeight="1" thickBot="1" x14ac:dyDescent="0.25">
      <c r="A45" s="622"/>
      <c r="B45" s="470"/>
      <c r="C45" s="471"/>
      <c r="D45" s="471"/>
      <c r="E45" s="471"/>
      <c r="F45" s="471"/>
      <c r="G45" s="472"/>
      <c r="H45" s="465" t="s">
        <v>40</v>
      </c>
      <c r="I45" s="466"/>
      <c r="J45" s="466"/>
      <c r="K45" s="467"/>
      <c r="L45" s="189">
        <f>IF(L44="","",CONVERT(L44,"cm","m"))</f>
        <v>0.78</v>
      </c>
      <c r="M45" s="190">
        <f>IF(M44="","",CONVERT(M44,"cm","m"))</f>
        <v>0.8</v>
      </c>
      <c r="N45" s="190">
        <f t="shared" ref="N45:P45" si="0">IF(N44="","",CONVERT(N44,"cm","m"))</f>
        <v>0.84</v>
      </c>
      <c r="O45" s="190">
        <f t="shared" si="0"/>
        <v>0.88</v>
      </c>
      <c r="P45" s="190">
        <f t="shared" si="0"/>
        <v>0.92</v>
      </c>
      <c r="Q45" s="168"/>
      <c r="R45" s="168"/>
      <c r="S45" s="168"/>
      <c r="T45" s="167"/>
      <c r="U45" s="202" t="s">
        <v>27</v>
      </c>
      <c r="W45" s="832"/>
      <c r="X45" s="833"/>
    </row>
    <row r="46" spans="1:24" s="3" customFormat="1" ht="15" customHeight="1" thickTop="1" x14ac:dyDescent="0.2">
      <c r="A46" s="622"/>
      <c r="B46" s="642" t="s">
        <v>780</v>
      </c>
      <c r="C46" s="643"/>
      <c r="D46" s="643"/>
      <c r="E46" s="643"/>
      <c r="F46" s="643"/>
      <c r="G46" s="644"/>
      <c r="H46" s="123" t="s">
        <v>782</v>
      </c>
      <c r="I46" s="158" t="s">
        <v>783</v>
      </c>
      <c r="J46" s="269"/>
      <c r="K46" s="270"/>
      <c r="L46" s="856" t="s">
        <v>751</v>
      </c>
      <c r="M46" s="590"/>
      <c r="N46" s="589"/>
      <c r="O46" s="590"/>
      <c r="P46" s="589"/>
      <c r="Q46" s="590"/>
      <c r="R46" s="589"/>
      <c r="S46" s="590"/>
      <c r="T46" s="589"/>
      <c r="U46" s="605"/>
      <c r="W46" s="834" t="s">
        <v>779</v>
      </c>
      <c r="X46" s="835"/>
    </row>
    <row r="47" spans="1:24" s="3" customFormat="1" ht="15" customHeight="1" thickBot="1" x14ac:dyDescent="0.25">
      <c r="A47" s="622"/>
      <c r="B47" s="840" t="s">
        <v>777</v>
      </c>
      <c r="C47" s="841"/>
      <c r="D47" s="841"/>
      <c r="E47" s="841"/>
      <c r="F47" s="841"/>
      <c r="G47" s="842"/>
      <c r="H47" s="85"/>
      <c r="I47" s="56"/>
      <c r="J47" s="268"/>
      <c r="K47" s="267"/>
      <c r="L47" s="160" t="s">
        <v>293</v>
      </c>
      <c r="M47" s="161" t="s">
        <v>361</v>
      </c>
      <c r="N47" s="161" t="s">
        <v>299</v>
      </c>
      <c r="O47" s="161" t="s">
        <v>305</v>
      </c>
      <c r="P47" s="161" t="s">
        <v>224</v>
      </c>
      <c r="Q47" s="161"/>
      <c r="R47" s="161"/>
      <c r="S47" s="161"/>
      <c r="T47" s="161"/>
      <c r="U47" s="162" t="s">
        <v>25</v>
      </c>
      <c r="W47" s="836"/>
      <c r="X47" s="837"/>
    </row>
    <row r="48" spans="1:24" s="3" customFormat="1" ht="15" customHeight="1" x14ac:dyDescent="0.2">
      <c r="A48" s="622"/>
      <c r="B48" s="719"/>
      <c r="C48" s="720"/>
      <c r="D48" s="720"/>
      <c r="E48" s="720"/>
      <c r="F48" s="720"/>
      <c r="G48" s="721"/>
      <c r="H48" s="695" t="s">
        <v>785</v>
      </c>
      <c r="I48" s="696"/>
      <c r="J48" s="696"/>
      <c r="K48" s="697"/>
      <c r="L48" s="163">
        <v>21</v>
      </c>
      <c r="M48" s="164">
        <v>26</v>
      </c>
      <c r="N48" s="164">
        <v>31</v>
      </c>
      <c r="O48" s="164">
        <v>36</v>
      </c>
      <c r="P48" s="207">
        <v>41</v>
      </c>
      <c r="Q48" s="166"/>
      <c r="R48" s="166"/>
      <c r="S48" s="166"/>
      <c r="T48" s="166"/>
      <c r="U48" s="201" t="s">
        <v>26</v>
      </c>
      <c r="W48" s="836"/>
      <c r="X48" s="837"/>
    </row>
    <row r="49" spans="1:27" s="3" customFormat="1" ht="15" customHeight="1" thickBot="1" x14ac:dyDescent="0.25">
      <c r="A49" s="622"/>
      <c r="B49" s="470"/>
      <c r="C49" s="471"/>
      <c r="D49" s="471"/>
      <c r="E49" s="471"/>
      <c r="F49" s="471"/>
      <c r="G49" s="472"/>
      <c r="H49" s="465" t="s">
        <v>40</v>
      </c>
      <c r="I49" s="466"/>
      <c r="J49" s="466"/>
      <c r="K49" s="467"/>
      <c r="L49" s="189">
        <f>IF(L48="","",CONVERT(L48,"cm","m")*2)</f>
        <v>0.42</v>
      </c>
      <c r="M49" s="190">
        <f>IF(M48="","",CONVERT(M48,"cm","m")*2)</f>
        <v>0.52</v>
      </c>
      <c r="N49" s="190">
        <f t="shared" ref="N49:P49" si="1">IF(N48="","",CONVERT(N48,"cm","m")*2)</f>
        <v>0.62</v>
      </c>
      <c r="O49" s="190">
        <f t="shared" si="1"/>
        <v>0.72</v>
      </c>
      <c r="P49" s="190">
        <f t="shared" si="1"/>
        <v>0.82000000000000006</v>
      </c>
      <c r="Q49" s="168"/>
      <c r="R49" s="168"/>
      <c r="S49" s="168"/>
      <c r="T49" s="167"/>
      <c r="U49" s="202" t="s">
        <v>27</v>
      </c>
      <c r="W49" s="838"/>
      <c r="X49" s="839"/>
    </row>
    <row r="50" spans="1:27" s="3" customFormat="1" ht="15" customHeight="1" thickTop="1" x14ac:dyDescent="0.2">
      <c r="A50" s="622"/>
      <c r="B50" s="490" t="s">
        <v>37</v>
      </c>
      <c r="C50" s="491"/>
      <c r="D50" s="491"/>
      <c r="E50" s="491"/>
      <c r="F50" s="491"/>
      <c r="G50" s="492"/>
      <c r="H50" s="79" t="s">
        <v>788</v>
      </c>
      <c r="I50" s="80" t="s">
        <v>160</v>
      </c>
      <c r="J50" s="263"/>
      <c r="K50" s="264"/>
      <c r="L50" s="662" t="s">
        <v>751</v>
      </c>
      <c r="M50" s="487"/>
      <c r="N50" s="468" t="s">
        <v>751</v>
      </c>
      <c r="O50" s="469"/>
      <c r="P50" s="468" t="s">
        <v>751</v>
      </c>
      <c r="Q50" s="469"/>
      <c r="R50" s="468" t="s">
        <v>751</v>
      </c>
      <c r="S50" s="469"/>
      <c r="T50" s="468" t="s">
        <v>751</v>
      </c>
      <c r="U50" s="701"/>
      <c r="W50" s="1032" t="s">
        <v>715</v>
      </c>
      <c r="X50" s="1033"/>
    </row>
    <row r="51" spans="1:27" s="3" customFormat="1" ht="15" customHeight="1" thickBot="1" x14ac:dyDescent="0.25">
      <c r="A51" s="622"/>
      <c r="B51" s="476" t="s">
        <v>716</v>
      </c>
      <c r="C51" s="477"/>
      <c r="D51" s="477"/>
      <c r="E51" s="477"/>
      <c r="F51" s="477"/>
      <c r="G51" s="478"/>
      <c r="H51" s="85"/>
      <c r="I51" s="56"/>
      <c r="J51" s="268"/>
      <c r="K51" s="267"/>
      <c r="L51" s="160" t="s">
        <v>293</v>
      </c>
      <c r="M51" s="161" t="s">
        <v>361</v>
      </c>
      <c r="N51" s="161" t="s">
        <v>299</v>
      </c>
      <c r="O51" s="161" t="s">
        <v>305</v>
      </c>
      <c r="P51" s="161" t="s">
        <v>224</v>
      </c>
      <c r="Q51" s="161"/>
      <c r="R51" s="161"/>
      <c r="S51" s="161"/>
      <c r="T51" s="161"/>
      <c r="U51" s="162" t="s">
        <v>25</v>
      </c>
      <c r="W51" s="1034"/>
      <c r="X51" s="1035"/>
    </row>
    <row r="52" spans="1:27" s="3" customFormat="1" ht="15" customHeight="1" x14ac:dyDescent="0.2">
      <c r="A52" s="622"/>
      <c r="B52" s="719"/>
      <c r="C52" s="720"/>
      <c r="D52" s="720"/>
      <c r="E52" s="720"/>
      <c r="F52" s="720"/>
      <c r="G52" s="721"/>
      <c r="H52" s="695" t="s">
        <v>36</v>
      </c>
      <c r="I52" s="696"/>
      <c r="J52" s="696"/>
      <c r="K52" s="697"/>
      <c r="L52" s="163">
        <v>34</v>
      </c>
      <c r="M52" s="164">
        <v>35</v>
      </c>
      <c r="N52" s="164">
        <v>36</v>
      </c>
      <c r="O52" s="164">
        <v>37</v>
      </c>
      <c r="P52" s="207">
        <v>38</v>
      </c>
      <c r="Q52" s="166"/>
      <c r="R52" s="166"/>
      <c r="S52" s="166"/>
      <c r="T52" s="166"/>
      <c r="U52" s="201" t="s">
        <v>26</v>
      </c>
      <c r="W52" s="1034"/>
      <c r="X52" s="1035"/>
    </row>
    <row r="53" spans="1:27" s="3" customFormat="1" ht="15" customHeight="1" thickBot="1" x14ac:dyDescent="0.25">
      <c r="A53" s="622"/>
      <c r="B53" s="470"/>
      <c r="C53" s="471"/>
      <c r="D53" s="471"/>
      <c r="E53" s="471"/>
      <c r="F53" s="471"/>
      <c r="G53" s="472"/>
      <c r="H53" s="465" t="s">
        <v>40</v>
      </c>
      <c r="I53" s="466"/>
      <c r="J53" s="466"/>
      <c r="K53" s="467"/>
      <c r="L53" s="189">
        <f>IF(L52="","",CONVERT(L52,"cm","m"))</f>
        <v>0.34</v>
      </c>
      <c r="M53" s="190">
        <f>IF(M52="","",CONVERT(M52,"cm","m"))</f>
        <v>0.35000000000000003</v>
      </c>
      <c r="N53" s="190">
        <f t="shared" ref="N53:P53" si="2">IF(N52="","",CONVERT(N52,"cm","m"))</f>
        <v>0.36</v>
      </c>
      <c r="O53" s="190">
        <f t="shared" si="2"/>
        <v>0.37</v>
      </c>
      <c r="P53" s="190">
        <f t="shared" si="2"/>
        <v>0.38</v>
      </c>
      <c r="Q53" s="168"/>
      <c r="R53" s="168"/>
      <c r="S53" s="168"/>
      <c r="T53" s="167"/>
      <c r="U53" s="202" t="s">
        <v>27</v>
      </c>
      <c r="W53" s="1034"/>
      <c r="X53" s="1035"/>
    </row>
    <row r="54" spans="1:27" s="3" customFormat="1" ht="15" customHeight="1" thickTop="1" x14ac:dyDescent="0.2">
      <c r="A54" s="622"/>
      <c r="B54" s="490" t="s">
        <v>37</v>
      </c>
      <c r="C54" s="491"/>
      <c r="D54" s="491"/>
      <c r="E54" s="491"/>
      <c r="F54" s="491"/>
      <c r="G54" s="492"/>
      <c r="H54" s="63" t="s">
        <v>788</v>
      </c>
      <c r="I54" s="80" t="s">
        <v>160</v>
      </c>
      <c r="J54" s="263"/>
      <c r="K54" s="264"/>
      <c r="L54" s="662" t="s">
        <v>751</v>
      </c>
      <c r="M54" s="487"/>
      <c r="N54" s="468" t="s">
        <v>751</v>
      </c>
      <c r="O54" s="469"/>
      <c r="P54" s="468" t="s">
        <v>751</v>
      </c>
      <c r="Q54" s="469"/>
      <c r="R54" s="468" t="s">
        <v>751</v>
      </c>
      <c r="S54" s="469"/>
      <c r="T54" s="468" t="s">
        <v>751</v>
      </c>
      <c r="U54" s="701"/>
      <c r="W54" s="1036" t="s">
        <v>1237</v>
      </c>
      <c r="X54" s="1037"/>
    </row>
    <row r="55" spans="1:27" s="3" customFormat="1" ht="15" customHeight="1" thickBot="1" x14ac:dyDescent="0.25">
      <c r="A55" s="622"/>
      <c r="B55" s="476" t="s">
        <v>716</v>
      </c>
      <c r="C55" s="477"/>
      <c r="D55" s="477"/>
      <c r="E55" s="477"/>
      <c r="F55" s="477"/>
      <c r="G55" s="478"/>
      <c r="H55" s="92"/>
      <c r="I55" s="56"/>
      <c r="J55" s="266"/>
      <c r="K55" s="267"/>
      <c r="L55" s="160" t="s">
        <v>293</v>
      </c>
      <c r="M55" s="161" t="s">
        <v>361</v>
      </c>
      <c r="N55" s="161" t="s">
        <v>299</v>
      </c>
      <c r="O55" s="161" t="s">
        <v>305</v>
      </c>
      <c r="P55" s="161" t="s">
        <v>224</v>
      </c>
      <c r="Q55" s="161"/>
      <c r="R55" s="161"/>
      <c r="S55" s="161"/>
      <c r="T55" s="161"/>
      <c r="U55" s="162" t="s">
        <v>25</v>
      </c>
      <c r="W55" s="1038"/>
      <c r="X55" s="1039"/>
    </row>
    <row r="56" spans="1:27" s="3" customFormat="1" ht="15" customHeight="1" x14ac:dyDescent="0.2">
      <c r="A56" s="622"/>
      <c r="B56" s="719"/>
      <c r="C56" s="720"/>
      <c r="D56" s="720"/>
      <c r="E56" s="720"/>
      <c r="F56" s="720"/>
      <c r="G56" s="721"/>
      <c r="H56" s="696" t="s">
        <v>36</v>
      </c>
      <c r="I56" s="696"/>
      <c r="J56" s="696"/>
      <c r="K56" s="697"/>
      <c r="L56" s="163">
        <v>36</v>
      </c>
      <c r="M56" s="164">
        <v>37</v>
      </c>
      <c r="N56" s="164">
        <v>38</v>
      </c>
      <c r="O56" s="164">
        <v>39</v>
      </c>
      <c r="P56" s="207">
        <v>40</v>
      </c>
      <c r="Q56" s="210">
        <v>0</v>
      </c>
      <c r="R56" s="211">
        <v>0</v>
      </c>
      <c r="S56" s="211">
        <v>0</v>
      </c>
      <c r="T56" s="211">
        <v>0</v>
      </c>
      <c r="U56" s="201" t="s">
        <v>26</v>
      </c>
      <c r="W56" s="1038"/>
      <c r="X56" s="1039"/>
    </row>
    <row r="57" spans="1:27" s="3" customFormat="1" ht="15" customHeight="1" thickBot="1" x14ac:dyDescent="0.25">
      <c r="A57" s="622"/>
      <c r="B57" s="470"/>
      <c r="C57" s="471"/>
      <c r="D57" s="471"/>
      <c r="E57" s="471"/>
      <c r="F57" s="471"/>
      <c r="G57" s="472"/>
      <c r="H57" s="466" t="s">
        <v>40</v>
      </c>
      <c r="I57" s="466"/>
      <c r="J57" s="466"/>
      <c r="K57" s="467"/>
      <c r="L57" s="189">
        <f>IF(L56="","",CONVERT(L56,"cm","m"))</f>
        <v>0.36</v>
      </c>
      <c r="M57" s="190">
        <f>IF(M56="","",CONVERT(M56,"cm","m"))</f>
        <v>0.37</v>
      </c>
      <c r="N57" s="190">
        <f t="shared" ref="N57:P57" si="3">IF(N56="","",CONVERT(N56,"cm","m"))</f>
        <v>0.38</v>
      </c>
      <c r="O57" s="190">
        <f t="shared" si="3"/>
        <v>0.39</v>
      </c>
      <c r="P57" s="190">
        <f t="shared" si="3"/>
        <v>0.4</v>
      </c>
      <c r="Q57" s="208"/>
      <c r="R57" s="209"/>
      <c r="S57" s="209"/>
      <c r="T57" s="208"/>
      <c r="U57" s="202" t="s">
        <v>27</v>
      </c>
      <c r="W57" s="1040"/>
      <c r="X57" s="1041"/>
    </row>
    <row r="58" spans="1:27" s="3" customFormat="1" ht="15" customHeight="1" thickTop="1" x14ac:dyDescent="0.2">
      <c r="A58" s="622"/>
      <c r="B58" s="490" t="s">
        <v>37</v>
      </c>
      <c r="C58" s="491"/>
      <c r="D58" s="491"/>
      <c r="E58" s="491"/>
      <c r="F58" s="491"/>
      <c r="G58" s="492"/>
      <c r="H58" s="63" t="s">
        <v>788</v>
      </c>
      <c r="I58" s="80" t="s">
        <v>1221</v>
      </c>
      <c r="J58" s="263"/>
      <c r="K58" s="264"/>
      <c r="L58" s="662" t="s">
        <v>751</v>
      </c>
      <c r="M58" s="487"/>
      <c r="N58" s="468" t="s">
        <v>751</v>
      </c>
      <c r="O58" s="469"/>
      <c r="P58" s="468" t="s">
        <v>751</v>
      </c>
      <c r="Q58" s="469"/>
      <c r="R58" s="468" t="s">
        <v>751</v>
      </c>
      <c r="S58" s="469"/>
      <c r="T58" s="468" t="s">
        <v>751</v>
      </c>
      <c r="U58" s="701"/>
      <c r="W58" s="1053" t="s">
        <v>1238</v>
      </c>
      <c r="X58" s="1054"/>
    </row>
    <row r="59" spans="1:27" s="3" customFormat="1" ht="15" customHeight="1" thickBot="1" x14ac:dyDescent="0.25">
      <c r="A59" s="622"/>
      <c r="B59" s="476" t="s">
        <v>1220</v>
      </c>
      <c r="C59" s="477"/>
      <c r="D59" s="477"/>
      <c r="E59" s="477"/>
      <c r="F59" s="477"/>
      <c r="G59" s="478"/>
      <c r="H59" s="92"/>
      <c r="I59" s="56"/>
      <c r="J59" s="266"/>
      <c r="K59" s="267"/>
      <c r="L59" s="160" t="s">
        <v>293</v>
      </c>
      <c r="M59" s="161" t="s">
        <v>361</v>
      </c>
      <c r="N59" s="161" t="s">
        <v>299</v>
      </c>
      <c r="O59" s="161" t="s">
        <v>305</v>
      </c>
      <c r="P59" s="161" t="s">
        <v>224</v>
      </c>
      <c r="Q59" s="161"/>
      <c r="R59" s="161"/>
      <c r="S59" s="161"/>
      <c r="T59" s="161"/>
      <c r="U59" s="162" t="s">
        <v>25</v>
      </c>
      <c r="W59" s="1055"/>
      <c r="X59" s="1056"/>
    </row>
    <row r="60" spans="1:27" s="3" customFormat="1" ht="15" customHeight="1" x14ac:dyDescent="0.2">
      <c r="A60" s="622"/>
      <c r="B60" s="719"/>
      <c r="C60" s="720"/>
      <c r="D60" s="720"/>
      <c r="E60" s="720"/>
      <c r="F60" s="720"/>
      <c r="G60" s="721"/>
      <c r="H60" s="696" t="s">
        <v>36</v>
      </c>
      <c r="I60" s="696"/>
      <c r="J60" s="696"/>
      <c r="K60" s="697"/>
      <c r="L60" s="163">
        <v>36</v>
      </c>
      <c r="M60" s="164">
        <v>37</v>
      </c>
      <c r="N60" s="164">
        <v>38</v>
      </c>
      <c r="O60" s="164">
        <v>39</v>
      </c>
      <c r="P60" s="207">
        <v>40</v>
      </c>
      <c r="Q60" s="210">
        <v>0</v>
      </c>
      <c r="R60" s="211">
        <v>0</v>
      </c>
      <c r="S60" s="211">
        <v>0</v>
      </c>
      <c r="T60" s="211">
        <v>0</v>
      </c>
      <c r="U60" s="201" t="s">
        <v>26</v>
      </c>
      <c r="W60" s="1055"/>
      <c r="X60" s="1056"/>
    </row>
    <row r="61" spans="1:27" s="3" customFormat="1" ht="15" customHeight="1" thickBot="1" x14ac:dyDescent="0.25">
      <c r="A61" s="622"/>
      <c r="B61" s="470"/>
      <c r="C61" s="471"/>
      <c r="D61" s="471"/>
      <c r="E61" s="471"/>
      <c r="F61" s="471"/>
      <c r="G61" s="472"/>
      <c r="H61" s="466" t="s">
        <v>40</v>
      </c>
      <c r="I61" s="466"/>
      <c r="J61" s="466"/>
      <c r="K61" s="467"/>
      <c r="L61" s="189">
        <f>IF(L60="","",CONVERT(L60,"cm","m"))</f>
        <v>0.36</v>
      </c>
      <c r="M61" s="190">
        <f>IF(M60="","",CONVERT(M60,"cm","m"))</f>
        <v>0.37</v>
      </c>
      <c r="N61" s="190">
        <f t="shared" ref="N61:P61" si="4">IF(N60="","",CONVERT(N60,"cm","m"))</f>
        <v>0.38</v>
      </c>
      <c r="O61" s="190">
        <f t="shared" si="4"/>
        <v>0.39</v>
      </c>
      <c r="P61" s="190">
        <f t="shared" si="4"/>
        <v>0.4</v>
      </c>
      <c r="Q61" s="208"/>
      <c r="R61" s="209"/>
      <c r="S61" s="209"/>
      <c r="T61" s="208"/>
      <c r="U61" s="202" t="s">
        <v>27</v>
      </c>
      <c r="W61" s="1057"/>
      <c r="X61" s="1058"/>
    </row>
    <row r="62" spans="1:27" s="3" customFormat="1" ht="15" customHeight="1" thickTop="1" x14ac:dyDescent="0.2">
      <c r="A62" s="622"/>
      <c r="B62" s="490" t="s">
        <v>37</v>
      </c>
      <c r="C62" s="491"/>
      <c r="D62" s="491"/>
      <c r="E62" s="491"/>
      <c r="F62" s="491"/>
      <c r="G62" s="492"/>
      <c r="H62" s="79" t="s">
        <v>788</v>
      </c>
      <c r="I62" s="94" t="s">
        <v>42</v>
      </c>
      <c r="J62" s="263"/>
      <c r="K62" s="264"/>
      <c r="L62" s="662" t="s">
        <v>751</v>
      </c>
      <c r="M62" s="487"/>
      <c r="N62" s="468" t="s">
        <v>751</v>
      </c>
      <c r="O62" s="469"/>
      <c r="P62" s="468" t="s">
        <v>751</v>
      </c>
      <c r="Q62" s="469"/>
      <c r="R62" s="468" t="s">
        <v>751</v>
      </c>
      <c r="S62" s="469"/>
      <c r="T62" s="468" t="s">
        <v>751</v>
      </c>
      <c r="U62" s="701"/>
      <c r="W62" s="1042" t="s">
        <v>85</v>
      </c>
      <c r="X62" s="1043"/>
      <c r="AA62" s="9"/>
    </row>
    <row r="63" spans="1:27" s="3" customFormat="1" ht="15" customHeight="1" thickBot="1" x14ac:dyDescent="0.25">
      <c r="A63" s="622"/>
      <c r="B63" s="488" t="s">
        <v>41</v>
      </c>
      <c r="C63" s="428"/>
      <c r="D63" s="428"/>
      <c r="E63" s="428"/>
      <c r="F63" s="428"/>
      <c r="G63" s="489"/>
      <c r="H63" s="95"/>
      <c r="I63" s="96"/>
      <c r="J63" s="265"/>
      <c r="K63" s="251"/>
      <c r="L63" s="160" t="s">
        <v>293</v>
      </c>
      <c r="M63" s="161" t="s">
        <v>361</v>
      </c>
      <c r="N63" s="161" t="s">
        <v>299</v>
      </c>
      <c r="O63" s="161" t="s">
        <v>305</v>
      </c>
      <c r="P63" s="161" t="s">
        <v>224</v>
      </c>
      <c r="Q63" s="161"/>
      <c r="R63" s="161"/>
      <c r="S63" s="161"/>
      <c r="T63" s="161"/>
      <c r="U63" s="162" t="s">
        <v>25</v>
      </c>
      <c r="W63" s="1042"/>
      <c r="X63" s="1043"/>
      <c r="AA63" s="9"/>
    </row>
    <row r="64" spans="1:27" s="3" customFormat="1" ht="15" customHeight="1" x14ac:dyDescent="0.2">
      <c r="A64" s="622"/>
      <c r="B64" s="473"/>
      <c r="C64" s="474"/>
      <c r="D64" s="474"/>
      <c r="E64" s="474"/>
      <c r="F64" s="474"/>
      <c r="G64" s="475"/>
      <c r="H64" s="496" t="s">
        <v>70</v>
      </c>
      <c r="I64" s="496"/>
      <c r="J64" s="496"/>
      <c r="K64" s="497"/>
      <c r="L64" s="297"/>
      <c r="M64" s="298"/>
      <c r="N64" s="298"/>
      <c r="O64" s="298"/>
      <c r="P64" s="298"/>
      <c r="Q64" s="210">
        <v>0</v>
      </c>
      <c r="R64" s="211">
        <v>0</v>
      </c>
      <c r="S64" s="211">
        <v>0</v>
      </c>
      <c r="T64" s="211">
        <v>0</v>
      </c>
      <c r="U64" s="203" t="s">
        <v>26</v>
      </c>
      <c r="W64" s="1042"/>
      <c r="X64" s="1043"/>
    </row>
    <row r="65" spans="1:26" s="3" customFormat="1" ht="15" customHeight="1" thickBot="1" x14ac:dyDescent="0.25">
      <c r="A65" s="622"/>
      <c r="B65" s="698"/>
      <c r="C65" s="699"/>
      <c r="D65" s="699"/>
      <c r="E65" s="699"/>
      <c r="F65" s="699"/>
      <c r="G65" s="700"/>
      <c r="H65" s="498" t="s">
        <v>40</v>
      </c>
      <c r="I65" s="498"/>
      <c r="J65" s="498"/>
      <c r="K65" s="499"/>
      <c r="L65" s="189" t="str">
        <f>IF(L64="","",CONVERT(L64,"cm","m"))</f>
        <v/>
      </c>
      <c r="M65" s="190" t="str">
        <f>IF(M64="","",CONVERT(M64,"cm","m"))</f>
        <v/>
      </c>
      <c r="N65" s="190" t="str">
        <f t="shared" ref="N65:P65" si="5">IF(N64="","",CONVERT(N64,"cm","m"))</f>
        <v/>
      </c>
      <c r="O65" s="190" t="str">
        <f t="shared" si="5"/>
        <v/>
      </c>
      <c r="P65" s="190" t="str">
        <f t="shared" si="5"/>
        <v/>
      </c>
      <c r="Q65" s="208"/>
      <c r="R65" s="209"/>
      <c r="S65" s="209"/>
      <c r="T65" s="208"/>
      <c r="U65" s="204" t="s">
        <v>27</v>
      </c>
      <c r="W65" s="1042"/>
      <c r="X65" s="1043"/>
    </row>
    <row r="66" spans="1:26" s="3" customFormat="1" ht="15" customHeight="1" thickTop="1" x14ac:dyDescent="0.2">
      <c r="A66" s="622"/>
      <c r="B66" s="490" t="s">
        <v>37</v>
      </c>
      <c r="C66" s="491"/>
      <c r="D66" s="491"/>
      <c r="E66" s="491"/>
      <c r="F66" s="491"/>
      <c r="G66" s="492"/>
      <c r="H66" s="79" t="s">
        <v>788</v>
      </c>
      <c r="I66" s="94" t="s">
        <v>42</v>
      </c>
      <c r="J66" s="263"/>
      <c r="K66" s="264"/>
      <c r="L66" s="662" t="s">
        <v>751</v>
      </c>
      <c r="M66" s="487"/>
      <c r="N66" s="468" t="s">
        <v>751</v>
      </c>
      <c r="O66" s="469"/>
      <c r="P66" s="468" t="s">
        <v>751</v>
      </c>
      <c r="Q66" s="469"/>
      <c r="R66" s="468" t="s">
        <v>751</v>
      </c>
      <c r="S66" s="469"/>
      <c r="T66" s="468" t="s">
        <v>751</v>
      </c>
      <c r="U66" s="701"/>
      <c r="W66" s="1044" t="s">
        <v>86</v>
      </c>
      <c r="X66" s="1045"/>
    </row>
    <row r="67" spans="1:26" s="3" customFormat="1" ht="15" customHeight="1" thickBot="1" x14ac:dyDescent="0.25">
      <c r="A67" s="622"/>
      <c r="B67" s="488" t="s">
        <v>41</v>
      </c>
      <c r="C67" s="428"/>
      <c r="D67" s="428"/>
      <c r="E67" s="428"/>
      <c r="F67" s="428"/>
      <c r="G67" s="489"/>
      <c r="H67" s="95"/>
      <c r="I67" s="96"/>
      <c r="J67" s="265"/>
      <c r="K67" s="251"/>
      <c r="L67" s="160" t="s">
        <v>293</v>
      </c>
      <c r="M67" s="161" t="s">
        <v>361</v>
      </c>
      <c r="N67" s="161" t="s">
        <v>299</v>
      </c>
      <c r="O67" s="161" t="s">
        <v>305</v>
      </c>
      <c r="P67" s="161" t="s">
        <v>224</v>
      </c>
      <c r="Q67" s="161"/>
      <c r="R67" s="161"/>
      <c r="S67" s="161"/>
      <c r="T67" s="161"/>
      <c r="U67" s="162" t="s">
        <v>25</v>
      </c>
      <c r="W67" s="1046"/>
      <c r="X67" s="1047"/>
    </row>
    <row r="68" spans="1:26" s="3" customFormat="1" ht="15" customHeight="1" x14ac:dyDescent="0.2">
      <c r="A68" s="622"/>
      <c r="B68" s="473"/>
      <c r="C68" s="474"/>
      <c r="D68" s="474"/>
      <c r="E68" s="474"/>
      <c r="F68" s="474"/>
      <c r="G68" s="475"/>
      <c r="H68" s="496" t="s">
        <v>786</v>
      </c>
      <c r="I68" s="496"/>
      <c r="J68" s="496"/>
      <c r="K68" s="497"/>
      <c r="L68" s="295"/>
      <c r="M68" s="296"/>
      <c r="N68" s="296"/>
      <c r="O68" s="296"/>
      <c r="P68" s="296"/>
      <c r="Q68" s="210">
        <v>0</v>
      </c>
      <c r="R68" s="211">
        <v>0</v>
      </c>
      <c r="S68" s="211">
        <v>0</v>
      </c>
      <c r="T68" s="211">
        <v>0</v>
      </c>
      <c r="U68" s="203" t="s">
        <v>26</v>
      </c>
      <c r="W68" s="1046"/>
      <c r="X68" s="1047"/>
    </row>
    <row r="69" spans="1:26" s="3" customFormat="1" ht="15" customHeight="1" thickBot="1" x14ac:dyDescent="0.25">
      <c r="A69" s="622"/>
      <c r="B69" s="698"/>
      <c r="C69" s="699"/>
      <c r="D69" s="699"/>
      <c r="E69" s="699"/>
      <c r="F69" s="699"/>
      <c r="G69" s="700"/>
      <c r="H69" s="498" t="s">
        <v>40</v>
      </c>
      <c r="I69" s="498"/>
      <c r="J69" s="498"/>
      <c r="K69" s="499"/>
      <c r="L69" s="189" t="str">
        <f>IF(L68="","",CONVERT(L68,"cm","m")*2)</f>
        <v/>
      </c>
      <c r="M69" s="190" t="str">
        <f>IF(M68="","",CONVERT(M68,"cm","m")*2)</f>
        <v/>
      </c>
      <c r="N69" s="190" t="str">
        <f t="shared" ref="N69:P69" si="6">IF(N68="","",CONVERT(N68,"cm","m")*2)</f>
        <v/>
      </c>
      <c r="O69" s="190" t="str">
        <f t="shared" si="6"/>
        <v/>
      </c>
      <c r="P69" s="190" t="str">
        <f t="shared" si="6"/>
        <v/>
      </c>
      <c r="Q69" s="208"/>
      <c r="R69" s="209"/>
      <c r="S69" s="209"/>
      <c r="T69" s="208"/>
      <c r="U69" s="204" t="s">
        <v>27</v>
      </c>
      <c r="W69" s="1048"/>
      <c r="X69" s="1049"/>
    </row>
    <row r="70" spans="1:26" s="3" customFormat="1" ht="15" customHeight="1" thickTop="1" x14ac:dyDescent="0.2">
      <c r="A70" s="622"/>
      <c r="B70" s="490" t="s">
        <v>45</v>
      </c>
      <c r="C70" s="491"/>
      <c r="D70" s="491"/>
      <c r="E70" s="491"/>
      <c r="F70" s="491"/>
      <c r="G70" s="492"/>
      <c r="H70" s="63" t="s">
        <v>788</v>
      </c>
      <c r="I70" s="94" t="s">
        <v>42</v>
      </c>
      <c r="J70" s="263"/>
      <c r="K70" s="264"/>
      <c r="L70" s="694" t="s">
        <v>750</v>
      </c>
      <c r="M70" s="469"/>
      <c r="N70" s="486"/>
      <c r="O70" s="487"/>
      <c r="P70" s="486"/>
      <c r="Q70" s="487"/>
      <c r="R70" s="486"/>
      <c r="S70" s="487"/>
      <c r="T70" s="486"/>
      <c r="U70" s="664"/>
      <c r="W70" s="1036" t="s">
        <v>87</v>
      </c>
      <c r="X70" s="1037"/>
      <c r="Y70" s="10"/>
      <c r="Z70" s="10"/>
    </row>
    <row r="71" spans="1:26" s="3" customFormat="1" ht="15" customHeight="1" thickBot="1" x14ac:dyDescent="0.25">
      <c r="A71" s="622"/>
      <c r="B71" s="1050" t="s">
        <v>41</v>
      </c>
      <c r="C71" s="1051"/>
      <c r="D71" s="1051"/>
      <c r="E71" s="1051"/>
      <c r="F71" s="1051"/>
      <c r="G71" s="1052"/>
      <c r="H71" s="92"/>
      <c r="I71" s="96"/>
      <c r="J71" s="265"/>
      <c r="K71" s="251"/>
      <c r="L71" s="160" t="s">
        <v>293</v>
      </c>
      <c r="M71" s="161" t="s">
        <v>361</v>
      </c>
      <c r="N71" s="161" t="s">
        <v>299</v>
      </c>
      <c r="O71" s="161" t="s">
        <v>305</v>
      </c>
      <c r="P71" s="161" t="s">
        <v>224</v>
      </c>
      <c r="Q71" s="161"/>
      <c r="R71" s="161"/>
      <c r="S71" s="161"/>
      <c r="T71" s="161"/>
      <c r="U71" s="162" t="s">
        <v>25</v>
      </c>
      <c r="W71" s="1038"/>
      <c r="X71" s="1039"/>
      <c r="Y71" s="10"/>
      <c r="Z71" s="10"/>
    </row>
    <row r="72" spans="1:26" s="3" customFormat="1" ht="15" customHeight="1" x14ac:dyDescent="0.2">
      <c r="A72" s="622"/>
      <c r="B72" s="473"/>
      <c r="C72" s="474"/>
      <c r="D72" s="474"/>
      <c r="E72" s="474"/>
      <c r="F72" s="474"/>
      <c r="G72" s="475"/>
      <c r="H72" s="496" t="s">
        <v>70</v>
      </c>
      <c r="I72" s="496"/>
      <c r="J72" s="496"/>
      <c r="K72" s="497"/>
      <c r="L72" s="295"/>
      <c r="M72" s="296"/>
      <c r="N72" s="296"/>
      <c r="O72" s="296"/>
      <c r="P72" s="296"/>
      <c r="Q72" s="210">
        <v>0</v>
      </c>
      <c r="R72" s="211">
        <v>0</v>
      </c>
      <c r="S72" s="211">
        <v>0</v>
      </c>
      <c r="T72" s="211">
        <v>0</v>
      </c>
      <c r="U72" s="203" t="s">
        <v>26</v>
      </c>
      <c r="W72" s="1038"/>
      <c r="X72" s="1039"/>
      <c r="Y72" s="10"/>
    </row>
    <row r="73" spans="1:26" s="3" customFormat="1" ht="15" customHeight="1" thickBot="1" x14ac:dyDescent="0.25">
      <c r="A73" s="622"/>
      <c r="B73" s="698"/>
      <c r="C73" s="699"/>
      <c r="D73" s="699"/>
      <c r="E73" s="699"/>
      <c r="F73" s="699"/>
      <c r="G73" s="700"/>
      <c r="H73" s="498" t="s">
        <v>40</v>
      </c>
      <c r="I73" s="498"/>
      <c r="J73" s="498"/>
      <c r="K73" s="499"/>
      <c r="L73" s="191" t="str">
        <f>IF(L72="","",CONVERT(L72,"cm","m"))</f>
        <v/>
      </c>
      <c r="M73" s="190" t="str">
        <f>IF(M72="","",CONVERT(M72,"cm","m"))</f>
        <v/>
      </c>
      <c r="N73" s="190" t="str">
        <f t="shared" ref="N73:P73" si="7">IF(N72="","",CONVERT(N72,"cm","m"))</f>
        <v/>
      </c>
      <c r="O73" s="190" t="str">
        <f t="shared" si="7"/>
        <v/>
      </c>
      <c r="P73" s="190" t="str">
        <f t="shared" si="7"/>
        <v/>
      </c>
      <c r="Q73" s="208"/>
      <c r="R73" s="209"/>
      <c r="S73" s="209"/>
      <c r="T73" s="208"/>
      <c r="U73" s="204" t="s">
        <v>27</v>
      </c>
      <c r="W73" s="1040"/>
      <c r="X73" s="1041"/>
      <c r="Y73" s="10"/>
    </row>
    <row r="74" spans="1:26" s="3" customFormat="1" ht="15" customHeight="1" thickTop="1" x14ac:dyDescent="0.2">
      <c r="A74" s="622"/>
      <c r="B74" s="490" t="s">
        <v>45</v>
      </c>
      <c r="C74" s="491"/>
      <c r="D74" s="491"/>
      <c r="E74" s="491"/>
      <c r="F74" s="491"/>
      <c r="G74" s="492"/>
      <c r="H74" s="63" t="s">
        <v>788</v>
      </c>
      <c r="I74" s="94" t="s">
        <v>42</v>
      </c>
      <c r="J74" s="263"/>
      <c r="K74" s="264"/>
      <c r="L74" s="694" t="s">
        <v>750</v>
      </c>
      <c r="M74" s="469"/>
      <c r="N74" s="486"/>
      <c r="O74" s="487"/>
      <c r="P74" s="486"/>
      <c r="Q74" s="487"/>
      <c r="R74" s="486"/>
      <c r="S74" s="487"/>
      <c r="T74" s="486"/>
      <c r="U74" s="664"/>
      <c r="W74" s="1053" t="s">
        <v>88</v>
      </c>
      <c r="X74" s="1054"/>
      <c r="Y74" s="10"/>
      <c r="Z74" s="10"/>
    </row>
    <row r="75" spans="1:26" s="3" customFormat="1" ht="15" customHeight="1" thickBot="1" x14ac:dyDescent="0.25">
      <c r="A75" s="622"/>
      <c r="B75" s="1050" t="s">
        <v>41</v>
      </c>
      <c r="C75" s="1051"/>
      <c r="D75" s="1051"/>
      <c r="E75" s="1051"/>
      <c r="F75" s="1051"/>
      <c r="G75" s="1052"/>
      <c r="H75" s="92"/>
      <c r="I75" s="96"/>
      <c r="J75" s="265"/>
      <c r="K75" s="251"/>
      <c r="L75" s="160" t="s">
        <v>293</v>
      </c>
      <c r="M75" s="161" t="s">
        <v>361</v>
      </c>
      <c r="N75" s="161" t="s">
        <v>299</v>
      </c>
      <c r="O75" s="161" t="s">
        <v>305</v>
      </c>
      <c r="P75" s="161" t="s">
        <v>224</v>
      </c>
      <c r="Q75" s="161"/>
      <c r="R75" s="161"/>
      <c r="S75" s="161"/>
      <c r="T75" s="161"/>
      <c r="U75" s="162" t="s">
        <v>25</v>
      </c>
      <c r="W75" s="1055"/>
      <c r="X75" s="1056"/>
      <c r="Y75" s="10"/>
      <c r="Z75" s="10"/>
    </row>
    <row r="76" spans="1:26" s="3" customFormat="1" ht="15" customHeight="1" x14ac:dyDescent="0.2">
      <c r="A76" s="622"/>
      <c r="B76" s="473"/>
      <c r="C76" s="474"/>
      <c r="D76" s="474"/>
      <c r="E76" s="474"/>
      <c r="F76" s="474"/>
      <c r="G76" s="475"/>
      <c r="H76" s="496" t="s">
        <v>786</v>
      </c>
      <c r="I76" s="496"/>
      <c r="J76" s="496"/>
      <c r="K76" s="497"/>
      <c r="L76" s="295"/>
      <c r="M76" s="296"/>
      <c r="N76" s="296"/>
      <c r="O76" s="296"/>
      <c r="P76" s="296"/>
      <c r="Q76" s="210">
        <v>0</v>
      </c>
      <c r="R76" s="211">
        <v>0</v>
      </c>
      <c r="S76" s="211">
        <v>0</v>
      </c>
      <c r="T76" s="211">
        <v>0</v>
      </c>
      <c r="U76" s="203" t="s">
        <v>26</v>
      </c>
      <c r="W76" s="1055"/>
      <c r="X76" s="1056"/>
      <c r="Y76" s="10"/>
    </row>
    <row r="77" spans="1:26" s="3" customFormat="1" ht="15" customHeight="1" thickBot="1" x14ac:dyDescent="0.25">
      <c r="A77" s="622"/>
      <c r="B77" s="698"/>
      <c r="C77" s="699"/>
      <c r="D77" s="699"/>
      <c r="E77" s="699"/>
      <c r="F77" s="699"/>
      <c r="G77" s="700"/>
      <c r="H77" s="498" t="s">
        <v>40</v>
      </c>
      <c r="I77" s="498"/>
      <c r="J77" s="498"/>
      <c r="K77" s="499"/>
      <c r="L77" s="191" t="str">
        <f>IF(L76="","",CONVERT(L76,"cm","m")*2)</f>
        <v/>
      </c>
      <c r="M77" s="190" t="str">
        <f>IF(M76="","",CONVERT(M76,"cm","m")*2)</f>
        <v/>
      </c>
      <c r="N77" s="190" t="str">
        <f t="shared" ref="N77:P77" si="8">IF(N76="","",CONVERT(N76,"cm","m")*2)</f>
        <v/>
      </c>
      <c r="O77" s="190" t="str">
        <f t="shared" si="8"/>
        <v/>
      </c>
      <c r="P77" s="190" t="str">
        <f t="shared" si="8"/>
        <v/>
      </c>
      <c r="Q77" s="208"/>
      <c r="R77" s="209"/>
      <c r="S77" s="209"/>
      <c r="T77" s="208"/>
      <c r="U77" s="204" t="s">
        <v>27</v>
      </c>
      <c r="W77" s="1057"/>
      <c r="X77" s="1058"/>
      <c r="Y77" s="10"/>
    </row>
    <row r="78" spans="1:26" s="3" customFormat="1" ht="15" customHeight="1" thickTop="1" x14ac:dyDescent="0.2">
      <c r="A78" s="622"/>
      <c r="B78" s="490" t="s">
        <v>48</v>
      </c>
      <c r="C78" s="491"/>
      <c r="D78" s="491"/>
      <c r="E78" s="491"/>
      <c r="F78" s="491"/>
      <c r="G78" s="492"/>
      <c r="H78" s="63" t="s">
        <v>787</v>
      </c>
      <c r="I78" s="94" t="s">
        <v>42</v>
      </c>
      <c r="J78" s="263"/>
      <c r="K78" s="264"/>
      <c r="L78" s="694" t="s">
        <v>750</v>
      </c>
      <c r="M78" s="469"/>
      <c r="N78" s="486"/>
      <c r="O78" s="487"/>
      <c r="P78" s="486"/>
      <c r="Q78" s="487"/>
      <c r="R78" s="486"/>
      <c r="S78" s="487"/>
      <c r="T78" s="486"/>
      <c r="U78" s="664"/>
      <c r="W78" s="1059" t="s">
        <v>89</v>
      </c>
      <c r="X78" s="1060"/>
      <c r="Y78" s="10"/>
      <c r="Z78" s="10"/>
    </row>
    <row r="79" spans="1:26" s="3" customFormat="1" ht="15" customHeight="1" thickBot="1" x14ac:dyDescent="0.25">
      <c r="A79" s="622"/>
      <c r="B79" s="1050" t="s">
        <v>43</v>
      </c>
      <c r="C79" s="1051"/>
      <c r="D79" s="1051"/>
      <c r="E79" s="1051"/>
      <c r="F79" s="1051"/>
      <c r="G79" s="1052"/>
      <c r="H79" s="92"/>
      <c r="I79" s="96"/>
      <c r="J79" s="265"/>
      <c r="K79" s="251"/>
      <c r="L79" s="160" t="s">
        <v>293</v>
      </c>
      <c r="M79" s="161" t="s">
        <v>361</v>
      </c>
      <c r="N79" s="161" t="s">
        <v>299</v>
      </c>
      <c r="O79" s="161" t="s">
        <v>305</v>
      </c>
      <c r="P79" s="161" t="s">
        <v>224</v>
      </c>
      <c r="Q79" s="161"/>
      <c r="R79" s="161"/>
      <c r="S79" s="161"/>
      <c r="T79" s="161"/>
      <c r="U79" s="162" t="s">
        <v>25</v>
      </c>
      <c r="W79" s="1061"/>
      <c r="X79" s="1062"/>
    </row>
    <row r="80" spans="1:26" s="3" customFormat="1" ht="15" customHeight="1" x14ac:dyDescent="0.2">
      <c r="A80" s="622"/>
      <c r="B80" s="473"/>
      <c r="C80" s="474"/>
      <c r="D80" s="474"/>
      <c r="E80" s="474"/>
      <c r="F80" s="474"/>
      <c r="G80" s="475"/>
      <c r="H80" s="496" t="s">
        <v>70</v>
      </c>
      <c r="I80" s="496"/>
      <c r="J80" s="496"/>
      <c r="K80" s="497"/>
      <c r="L80" s="295"/>
      <c r="M80" s="296"/>
      <c r="N80" s="296"/>
      <c r="O80" s="296"/>
      <c r="P80" s="296"/>
      <c r="Q80" s="210">
        <v>0</v>
      </c>
      <c r="R80" s="211">
        <v>0</v>
      </c>
      <c r="S80" s="211">
        <v>0</v>
      </c>
      <c r="T80" s="211">
        <v>0</v>
      </c>
      <c r="U80" s="203" t="s">
        <v>26</v>
      </c>
      <c r="W80" s="1061"/>
      <c r="X80" s="1062"/>
    </row>
    <row r="81" spans="1:24" s="3" customFormat="1" ht="15" customHeight="1" thickBot="1" x14ac:dyDescent="0.25">
      <c r="A81" s="622"/>
      <c r="B81" s="357"/>
      <c r="C81" s="358"/>
      <c r="D81" s="358"/>
      <c r="E81" s="358"/>
      <c r="F81" s="358"/>
      <c r="G81" s="541"/>
      <c r="H81" s="1065" t="s">
        <v>40</v>
      </c>
      <c r="I81" s="1065"/>
      <c r="J81" s="1065"/>
      <c r="K81" s="1066"/>
      <c r="L81" s="187" t="str">
        <f>IF(L80="","",CONVERT(L80,"cm","m"))</f>
        <v/>
      </c>
      <c r="M81" s="188" t="str">
        <f>IF(M80="","",CONVERT(M80,"cm","m"))</f>
        <v/>
      </c>
      <c r="N81" s="188" t="str">
        <f t="shared" ref="N81:P81" si="9">IF(N80="","",CONVERT(N80,"cm","m"))</f>
        <v/>
      </c>
      <c r="O81" s="188" t="str">
        <f t="shared" si="9"/>
        <v/>
      </c>
      <c r="P81" s="188" t="str">
        <f t="shared" si="9"/>
        <v/>
      </c>
      <c r="Q81" s="208"/>
      <c r="R81" s="209"/>
      <c r="S81" s="209"/>
      <c r="T81" s="208"/>
      <c r="U81" s="205" t="s">
        <v>27</v>
      </c>
      <c r="W81" s="1063"/>
      <c r="X81" s="1064"/>
    </row>
    <row r="82" spans="1:24" s="3" customFormat="1" ht="15" customHeight="1" thickTop="1" x14ac:dyDescent="0.2">
      <c r="A82" s="622"/>
      <c r="B82" s="490" t="s">
        <v>48</v>
      </c>
      <c r="C82" s="491"/>
      <c r="D82" s="491"/>
      <c r="E82" s="491"/>
      <c r="F82" s="491"/>
      <c r="G82" s="492"/>
      <c r="H82" s="63" t="s">
        <v>787</v>
      </c>
      <c r="I82" s="94" t="s">
        <v>42</v>
      </c>
      <c r="J82" s="263"/>
      <c r="K82" s="264"/>
      <c r="L82" s="694" t="s">
        <v>750</v>
      </c>
      <c r="M82" s="469"/>
      <c r="N82" s="486"/>
      <c r="O82" s="487"/>
      <c r="P82" s="486"/>
      <c r="Q82" s="487"/>
      <c r="R82" s="486"/>
      <c r="S82" s="487"/>
      <c r="T82" s="486"/>
      <c r="U82" s="664"/>
      <c r="W82" s="1067" t="s">
        <v>90</v>
      </c>
      <c r="X82" s="1068"/>
    </row>
    <row r="83" spans="1:24" s="3" customFormat="1" ht="15" customHeight="1" thickBot="1" x14ac:dyDescent="0.25">
      <c r="A83" s="622"/>
      <c r="B83" s="1050" t="s">
        <v>43</v>
      </c>
      <c r="C83" s="1051"/>
      <c r="D83" s="1051"/>
      <c r="E83" s="1051"/>
      <c r="F83" s="1051"/>
      <c r="G83" s="1052"/>
      <c r="H83" s="92"/>
      <c r="I83" s="96"/>
      <c r="J83" s="265"/>
      <c r="K83" s="251"/>
      <c r="L83" s="160" t="s">
        <v>293</v>
      </c>
      <c r="M83" s="161" t="s">
        <v>361</v>
      </c>
      <c r="N83" s="161" t="s">
        <v>299</v>
      </c>
      <c r="O83" s="161" t="s">
        <v>305</v>
      </c>
      <c r="P83" s="161" t="s">
        <v>224</v>
      </c>
      <c r="Q83" s="161"/>
      <c r="R83" s="161"/>
      <c r="S83" s="161"/>
      <c r="T83" s="161"/>
      <c r="U83" s="162" t="s">
        <v>25</v>
      </c>
      <c r="W83" s="1069"/>
      <c r="X83" s="1070"/>
    </row>
    <row r="84" spans="1:24" s="3" customFormat="1" ht="15" customHeight="1" x14ac:dyDescent="0.2">
      <c r="A84" s="622"/>
      <c r="B84" s="473"/>
      <c r="C84" s="474"/>
      <c r="D84" s="474"/>
      <c r="E84" s="474"/>
      <c r="F84" s="474"/>
      <c r="G84" s="475"/>
      <c r="H84" s="496" t="s">
        <v>786</v>
      </c>
      <c r="I84" s="496"/>
      <c r="J84" s="496"/>
      <c r="K84" s="497"/>
      <c r="L84" s="295"/>
      <c r="M84" s="296"/>
      <c r="N84" s="296"/>
      <c r="O84" s="296"/>
      <c r="P84" s="296"/>
      <c r="Q84" s="210">
        <v>0</v>
      </c>
      <c r="R84" s="211">
        <v>0</v>
      </c>
      <c r="S84" s="211">
        <v>0</v>
      </c>
      <c r="T84" s="211">
        <v>0</v>
      </c>
      <c r="U84" s="203" t="s">
        <v>26</v>
      </c>
      <c r="W84" s="1069"/>
      <c r="X84" s="1070"/>
    </row>
    <row r="85" spans="1:24" s="3" customFormat="1" ht="15" customHeight="1" thickBot="1" x14ac:dyDescent="0.25">
      <c r="A85" s="622"/>
      <c r="B85" s="357"/>
      <c r="C85" s="358"/>
      <c r="D85" s="358"/>
      <c r="E85" s="358"/>
      <c r="F85" s="358"/>
      <c r="G85" s="541"/>
      <c r="H85" s="1073" t="s">
        <v>40</v>
      </c>
      <c r="I85" s="1074"/>
      <c r="J85" s="1074"/>
      <c r="K85" s="1075"/>
      <c r="L85" s="187" t="str">
        <f>IF(L84="","",CONVERT(L84,"cm","m")*2)</f>
        <v/>
      </c>
      <c r="M85" s="188" t="str">
        <f>IF(M84="","",CONVERT(M84,"cm","m")*2)</f>
        <v/>
      </c>
      <c r="N85" s="188" t="str">
        <f t="shared" ref="N85:P85" si="10">IF(N84="","",CONVERT(N84,"cm","m")*2)</f>
        <v/>
      </c>
      <c r="O85" s="188" t="str">
        <f t="shared" si="10"/>
        <v/>
      </c>
      <c r="P85" s="188" t="str">
        <f t="shared" si="10"/>
        <v/>
      </c>
      <c r="Q85" s="208"/>
      <c r="R85" s="209"/>
      <c r="S85" s="209"/>
      <c r="T85" s="208"/>
      <c r="U85" s="205" t="s">
        <v>27</v>
      </c>
      <c r="W85" s="1071"/>
      <c r="X85" s="1072"/>
    </row>
    <row r="86" spans="1:24" s="3" customFormat="1" ht="15" customHeight="1" thickTop="1" x14ac:dyDescent="0.2">
      <c r="A86" s="622"/>
      <c r="B86" s="493" t="s">
        <v>53</v>
      </c>
      <c r="C86" s="494"/>
      <c r="D86" s="494"/>
      <c r="E86" s="494"/>
      <c r="F86" s="494"/>
      <c r="G86" s="495"/>
      <c r="H86" s="110" t="s">
        <v>790</v>
      </c>
      <c r="I86" s="212" t="s">
        <v>723</v>
      </c>
      <c r="J86" s="748">
        <v>1</v>
      </c>
      <c r="K86" s="751"/>
      <c r="L86" s="908"/>
      <c r="M86" s="909"/>
      <c r="N86" s="910"/>
      <c r="O86" s="909"/>
      <c r="P86" s="910"/>
      <c r="Q86" s="909"/>
      <c r="R86" s="910"/>
      <c r="S86" s="909"/>
      <c r="T86" s="669" t="s">
        <v>64</v>
      </c>
      <c r="U86" s="670"/>
      <c r="W86" s="917" t="s">
        <v>721</v>
      </c>
      <c r="X86" s="918"/>
    </row>
    <row r="87" spans="1:24" s="3" customFormat="1" ht="15" customHeight="1" x14ac:dyDescent="0.2">
      <c r="A87" s="622"/>
      <c r="B87" s="476" t="s">
        <v>722</v>
      </c>
      <c r="C87" s="477"/>
      <c r="D87" s="477"/>
      <c r="E87" s="477"/>
      <c r="F87" s="477"/>
      <c r="G87" s="478"/>
      <c r="H87" s="112"/>
      <c r="I87" s="213" t="s">
        <v>724</v>
      </c>
      <c r="J87" s="749"/>
      <c r="K87" s="752"/>
      <c r="L87" s="921"/>
      <c r="M87" s="922"/>
      <c r="N87" s="923"/>
      <c r="O87" s="922"/>
      <c r="P87" s="923"/>
      <c r="Q87" s="922"/>
      <c r="R87" s="923"/>
      <c r="S87" s="922"/>
      <c r="T87" s="606" t="s">
        <v>63</v>
      </c>
      <c r="U87" s="607"/>
      <c r="W87" s="919"/>
      <c r="X87" s="920"/>
    </row>
    <row r="88" spans="1:24" s="3" customFormat="1" ht="15" customHeight="1" x14ac:dyDescent="0.2">
      <c r="A88" s="622"/>
      <c r="B88" s="476" t="s">
        <v>74</v>
      </c>
      <c r="C88" s="477"/>
      <c r="D88" s="477"/>
      <c r="E88" s="477"/>
      <c r="F88" s="477"/>
      <c r="G88" s="478"/>
      <c r="H88" s="112"/>
      <c r="I88" s="213" t="s">
        <v>725</v>
      </c>
      <c r="J88" s="749"/>
      <c r="K88" s="752"/>
      <c r="L88" s="924"/>
      <c r="M88" s="925"/>
      <c r="N88" s="926"/>
      <c r="O88" s="925"/>
      <c r="P88" s="926"/>
      <c r="Q88" s="925"/>
      <c r="R88" s="926"/>
      <c r="S88" s="925"/>
      <c r="T88" s="610" t="s">
        <v>52</v>
      </c>
      <c r="U88" s="611"/>
      <c r="W88" s="919"/>
      <c r="X88" s="920"/>
    </row>
    <row r="89" spans="1:24" s="3" customFormat="1" ht="15" customHeight="1" x14ac:dyDescent="0.2">
      <c r="A89" s="622"/>
      <c r="B89" s="454" t="s">
        <v>68</v>
      </c>
      <c r="C89" s="455"/>
      <c r="D89" s="455"/>
      <c r="E89" s="455"/>
      <c r="F89" s="455"/>
      <c r="G89" s="456"/>
      <c r="H89" s="112"/>
      <c r="I89" s="213" t="s">
        <v>726</v>
      </c>
      <c r="J89" s="749"/>
      <c r="K89" s="752"/>
      <c r="L89" s="432"/>
      <c r="M89" s="433"/>
      <c r="N89" s="434"/>
      <c r="O89" s="433"/>
      <c r="P89" s="434"/>
      <c r="Q89" s="433"/>
      <c r="R89" s="434"/>
      <c r="S89" s="433"/>
      <c r="T89" s="762" t="s">
        <v>65</v>
      </c>
      <c r="U89" s="763"/>
      <c r="W89" s="919"/>
      <c r="X89" s="920"/>
    </row>
    <row r="90" spans="1:24" s="3" customFormat="1" ht="15" customHeight="1" x14ac:dyDescent="0.25">
      <c r="A90" s="622"/>
      <c r="B90" s="521"/>
      <c r="C90" s="522"/>
      <c r="D90" s="522"/>
      <c r="E90" s="522"/>
      <c r="F90" s="522"/>
      <c r="G90" s="523"/>
      <c r="H90" s="112"/>
      <c r="I90" s="176"/>
      <c r="J90" s="749"/>
      <c r="K90" s="752"/>
      <c r="L90" s="540"/>
      <c r="M90" s="458"/>
      <c r="N90" s="457"/>
      <c r="O90" s="458"/>
      <c r="P90" s="457"/>
      <c r="Q90" s="458"/>
      <c r="R90" s="457"/>
      <c r="S90" s="458"/>
      <c r="T90" s="608" t="s">
        <v>66</v>
      </c>
      <c r="U90" s="609"/>
      <c r="W90" s="919"/>
      <c r="X90" s="920"/>
    </row>
    <row r="91" spans="1:24" s="3" customFormat="1" ht="15" customHeight="1" x14ac:dyDescent="0.25">
      <c r="A91" s="622"/>
      <c r="B91" s="357"/>
      <c r="C91" s="358"/>
      <c r="D91" s="358"/>
      <c r="E91" s="358"/>
      <c r="F91" s="358"/>
      <c r="G91" s="541"/>
      <c r="H91" s="114"/>
      <c r="I91" s="176"/>
      <c r="J91" s="749"/>
      <c r="K91" s="752"/>
      <c r="L91" s="524"/>
      <c r="M91" s="525"/>
      <c r="N91" s="539"/>
      <c r="O91" s="525"/>
      <c r="P91" s="539"/>
      <c r="Q91" s="525"/>
      <c r="R91" s="539"/>
      <c r="S91" s="525"/>
      <c r="T91" s="610" t="s">
        <v>67</v>
      </c>
      <c r="U91" s="611"/>
      <c r="W91" s="919"/>
      <c r="X91" s="920"/>
    </row>
    <row r="92" spans="1:24" s="3" customFormat="1" ht="15" customHeight="1" x14ac:dyDescent="0.25">
      <c r="A92" s="622"/>
      <c r="B92" s="357"/>
      <c r="C92" s="358"/>
      <c r="D92" s="358"/>
      <c r="E92" s="358"/>
      <c r="F92" s="358"/>
      <c r="G92" s="541"/>
      <c r="H92" s="114"/>
      <c r="I92" s="176"/>
      <c r="J92" s="749"/>
      <c r="K92" s="752"/>
      <c r="L92" s="160" t="s">
        <v>293</v>
      </c>
      <c r="M92" s="161" t="s">
        <v>361</v>
      </c>
      <c r="N92" s="161" t="s">
        <v>299</v>
      </c>
      <c r="O92" s="161" t="s">
        <v>305</v>
      </c>
      <c r="P92" s="161" t="s">
        <v>224</v>
      </c>
      <c r="Q92" s="161"/>
      <c r="R92" s="161"/>
      <c r="S92" s="161"/>
      <c r="T92" s="161"/>
      <c r="U92" s="162" t="s">
        <v>25</v>
      </c>
      <c r="W92" s="919"/>
      <c r="X92" s="920"/>
    </row>
    <row r="93" spans="1:24" s="3" customFormat="1" ht="15" customHeight="1" x14ac:dyDescent="0.25">
      <c r="A93" s="622"/>
      <c r="B93" s="505"/>
      <c r="C93" s="506"/>
      <c r="D93" s="506"/>
      <c r="E93" s="506"/>
      <c r="F93" s="506"/>
      <c r="G93" s="507"/>
      <c r="H93" s="114"/>
      <c r="I93" s="176"/>
      <c r="J93" s="749"/>
      <c r="K93" s="752"/>
      <c r="L93" s="911" t="s">
        <v>107</v>
      </c>
      <c r="M93" s="913" t="s">
        <v>108</v>
      </c>
      <c r="N93" s="913" t="s">
        <v>109</v>
      </c>
      <c r="O93" s="913" t="s">
        <v>727</v>
      </c>
      <c r="P93" s="915"/>
      <c r="Q93" s="915"/>
      <c r="R93" s="915"/>
      <c r="S93" s="915"/>
      <c r="T93" s="915"/>
      <c r="U93" s="761" t="s">
        <v>44</v>
      </c>
      <c r="W93" s="919"/>
      <c r="X93" s="920"/>
    </row>
    <row r="94" spans="1:24" s="3" customFormat="1" ht="15" customHeight="1" thickBot="1" x14ac:dyDescent="0.3">
      <c r="A94" s="622"/>
      <c r="B94" s="451"/>
      <c r="C94" s="452"/>
      <c r="D94" s="452"/>
      <c r="E94" s="452"/>
      <c r="F94" s="452"/>
      <c r="G94" s="453"/>
      <c r="H94" s="117"/>
      <c r="I94" s="177"/>
      <c r="J94" s="750"/>
      <c r="K94" s="753"/>
      <c r="L94" s="912"/>
      <c r="M94" s="914"/>
      <c r="N94" s="914"/>
      <c r="O94" s="914"/>
      <c r="P94" s="916"/>
      <c r="Q94" s="916"/>
      <c r="R94" s="916"/>
      <c r="S94" s="916"/>
      <c r="T94" s="916"/>
      <c r="U94" s="760"/>
      <c r="W94" s="919"/>
      <c r="X94" s="920"/>
    </row>
    <row r="95" spans="1:24" s="3" customFormat="1" ht="15" customHeight="1" thickTop="1" x14ac:dyDescent="0.2">
      <c r="A95" s="622"/>
      <c r="B95" s="493" t="s">
        <v>53</v>
      </c>
      <c r="C95" s="494"/>
      <c r="D95" s="494"/>
      <c r="E95" s="494"/>
      <c r="F95" s="494"/>
      <c r="G95" s="495"/>
      <c r="H95" s="123" t="s">
        <v>790</v>
      </c>
      <c r="I95" s="216" t="s">
        <v>728</v>
      </c>
      <c r="J95" s="749">
        <v>1</v>
      </c>
      <c r="K95" s="752"/>
      <c r="L95" s="908"/>
      <c r="M95" s="909"/>
      <c r="N95" s="910"/>
      <c r="O95" s="909"/>
      <c r="P95" s="910"/>
      <c r="Q95" s="909"/>
      <c r="R95" s="910"/>
      <c r="S95" s="909"/>
      <c r="T95" s="669" t="s">
        <v>64</v>
      </c>
      <c r="U95" s="670"/>
      <c r="W95" s="1076" t="s">
        <v>718</v>
      </c>
      <c r="X95" s="1077"/>
    </row>
    <row r="96" spans="1:24" s="3" customFormat="1" ht="15" customHeight="1" x14ac:dyDescent="0.2">
      <c r="A96" s="622"/>
      <c r="B96" s="476" t="s">
        <v>75</v>
      </c>
      <c r="C96" s="477"/>
      <c r="D96" s="477"/>
      <c r="E96" s="477"/>
      <c r="F96" s="477"/>
      <c r="G96" s="478"/>
      <c r="H96" s="112"/>
      <c r="I96" s="216" t="s">
        <v>729</v>
      </c>
      <c r="J96" s="749"/>
      <c r="K96" s="752"/>
      <c r="L96" s="921"/>
      <c r="M96" s="922"/>
      <c r="N96" s="923"/>
      <c r="O96" s="922"/>
      <c r="P96" s="923"/>
      <c r="Q96" s="922"/>
      <c r="R96" s="923"/>
      <c r="S96" s="922"/>
      <c r="T96" s="606" t="s">
        <v>63</v>
      </c>
      <c r="U96" s="607"/>
      <c r="W96" s="1078"/>
      <c r="X96" s="1079"/>
    </row>
    <row r="97" spans="1:24" s="3" customFormat="1" ht="15" customHeight="1" x14ac:dyDescent="0.2">
      <c r="A97" s="622"/>
      <c r="B97" s="476" t="s">
        <v>74</v>
      </c>
      <c r="C97" s="477"/>
      <c r="D97" s="477"/>
      <c r="E97" s="477"/>
      <c r="F97" s="477"/>
      <c r="G97" s="478"/>
      <c r="H97" s="112"/>
      <c r="I97" s="216" t="s">
        <v>730</v>
      </c>
      <c r="J97" s="749"/>
      <c r="K97" s="752"/>
      <c r="L97" s="924"/>
      <c r="M97" s="925"/>
      <c r="N97" s="926"/>
      <c r="O97" s="925"/>
      <c r="P97" s="926"/>
      <c r="Q97" s="925"/>
      <c r="R97" s="926"/>
      <c r="S97" s="925"/>
      <c r="T97" s="610" t="s">
        <v>52</v>
      </c>
      <c r="U97" s="611"/>
      <c r="W97" s="1078"/>
      <c r="X97" s="1079"/>
    </row>
    <row r="98" spans="1:24" s="3" customFormat="1" ht="15" customHeight="1" x14ac:dyDescent="0.2">
      <c r="A98" s="622"/>
      <c r="B98" s="454" t="s">
        <v>68</v>
      </c>
      <c r="C98" s="455"/>
      <c r="D98" s="455"/>
      <c r="E98" s="455"/>
      <c r="F98" s="455"/>
      <c r="G98" s="456"/>
      <c r="H98" s="112"/>
      <c r="I98" s="216" t="s">
        <v>731</v>
      </c>
      <c r="J98" s="749"/>
      <c r="K98" s="752"/>
      <c r="L98" s="432"/>
      <c r="M98" s="433"/>
      <c r="N98" s="434"/>
      <c r="O98" s="433"/>
      <c r="P98" s="434"/>
      <c r="Q98" s="433"/>
      <c r="R98" s="434"/>
      <c r="S98" s="433"/>
      <c r="T98" s="762" t="s">
        <v>65</v>
      </c>
      <c r="U98" s="763"/>
      <c r="W98" s="1078"/>
      <c r="X98" s="1079"/>
    </row>
    <row r="99" spans="1:24" s="3" customFormat="1" ht="15" customHeight="1" x14ac:dyDescent="0.2">
      <c r="A99" s="622"/>
      <c r="B99" s="521"/>
      <c r="C99" s="522"/>
      <c r="D99" s="522"/>
      <c r="E99" s="522"/>
      <c r="F99" s="522"/>
      <c r="G99" s="523"/>
      <c r="H99" s="112"/>
      <c r="I99" s="216" t="s">
        <v>59</v>
      </c>
      <c r="J99" s="749"/>
      <c r="K99" s="752"/>
      <c r="L99" s="540"/>
      <c r="M99" s="458"/>
      <c r="N99" s="457"/>
      <c r="O99" s="458"/>
      <c r="P99" s="457"/>
      <c r="Q99" s="458"/>
      <c r="R99" s="457"/>
      <c r="S99" s="458"/>
      <c r="T99" s="608" t="s">
        <v>66</v>
      </c>
      <c r="U99" s="609"/>
      <c r="W99" s="1078"/>
      <c r="X99" s="1079"/>
    </row>
    <row r="100" spans="1:24" s="3" customFormat="1" ht="15" customHeight="1" x14ac:dyDescent="0.2">
      <c r="A100" s="622"/>
      <c r="B100" s="357"/>
      <c r="C100" s="358"/>
      <c r="D100" s="358"/>
      <c r="E100" s="358"/>
      <c r="F100" s="358"/>
      <c r="G100" s="541"/>
      <c r="H100" s="114"/>
      <c r="I100" s="217"/>
      <c r="J100" s="749"/>
      <c r="K100" s="752"/>
      <c r="L100" s="524"/>
      <c r="M100" s="525"/>
      <c r="N100" s="539"/>
      <c r="O100" s="525"/>
      <c r="P100" s="539"/>
      <c r="Q100" s="525"/>
      <c r="R100" s="539"/>
      <c r="S100" s="525"/>
      <c r="T100" s="610" t="s">
        <v>67</v>
      </c>
      <c r="U100" s="611"/>
      <c r="W100" s="1078"/>
      <c r="X100" s="1079"/>
    </row>
    <row r="101" spans="1:24" s="3" customFormat="1" ht="15" customHeight="1" x14ac:dyDescent="0.2">
      <c r="A101" s="622"/>
      <c r="B101" s="357"/>
      <c r="C101" s="358"/>
      <c r="D101" s="358"/>
      <c r="E101" s="358"/>
      <c r="F101" s="358"/>
      <c r="G101" s="541"/>
      <c r="H101" s="114"/>
      <c r="I101" s="217"/>
      <c r="J101" s="749"/>
      <c r="K101" s="752"/>
      <c r="L101" s="160" t="s">
        <v>293</v>
      </c>
      <c r="M101" s="161" t="s">
        <v>361</v>
      </c>
      <c r="N101" s="161" t="s">
        <v>299</v>
      </c>
      <c r="O101" s="161" t="s">
        <v>305</v>
      </c>
      <c r="P101" s="161" t="s">
        <v>224</v>
      </c>
      <c r="Q101" s="161"/>
      <c r="R101" s="161"/>
      <c r="S101" s="161"/>
      <c r="T101" s="161"/>
      <c r="U101" s="162" t="s">
        <v>25</v>
      </c>
      <c r="W101" s="1078"/>
      <c r="X101" s="1079"/>
    </row>
    <row r="102" spans="1:24" s="3" customFormat="1" ht="15" customHeight="1" x14ac:dyDescent="0.2">
      <c r="A102" s="622"/>
      <c r="B102" s="505"/>
      <c r="C102" s="506"/>
      <c r="D102" s="506"/>
      <c r="E102" s="506"/>
      <c r="F102" s="506"/>
      <c r="G102" s="507"/>
      <c r="H102" s="114"/>
      <c r="I102" s="217"/>
      <c r="J102" s="749"/>
      <c r="K102" s="752"/>
      <c r="L102" s="911" t="s">
        <v>732</v>
      </c>
      <c r="M102" s="913" t="s">
        <v>733</v>
      </c>
      <c r="N102" s="913" t="s">
        <v>734</v>
      </c>
      <c r="O102" s="913" t="s">
        <v>735</v>
      </c>
      <c r="P102" s="913" t="s">
        <v>103</v>
      </c>
      <c r="Q102" s="915"/>
      <c r="R102" s="915"/>
      <c r="S102" s="915"/>
      <c r="T102" s="915"/>
      <c r="U102" s="761" t="s">
        <v>44</v>
      </c>
      <c r="W102" s="1078"/>
      <c r="X102" s="1079"/>
    </row>
    <row r="103" spans="1:24" s="3" customFormat="1" ht="15" customHeight="1" thickBot="1" x14ac:dyDescent="0.25">
      <c r="A103" s="622"/>
      <c r="B103" s="451"/>
      <c r="C103" s="452"/>
      <c r="D103" s="452"/>
      <c r="E103" s="452"/>
      <c r="F103" s="452"/>
      <c r="G103" s="453"/>
      <c r="H103" s="117"/>
      <c r="I103" s="218"/>
      <c r="J103" s="750"/>
      <c r="K103" s="753"/>
      <c r="L103" s="912"/>
      <c r="M103" s="914"/>
      <c r="N103" s="914"/>
      <c r="O103" s="914"/>
      <c r="P103" s="914"/>
      <c r="Q103" s="916"/>
      <c r="R103" s="916"/>
      <c r="S103" s="916"/>
      <c r="T103" s="916"/>
      <c r="U103" s="760"/>
      <c r="W103" s="1078"/>
      <c r="X103" s="1079"/>
    </row>
    <row r="104" spans="1:24" s="3" customFormat="1" ht="15" customHeight="1" thickTop="1" x14ac:dyDescent="0.25">
      <c r="A104" s="622"/>
      <c r="B104" s="493" t="s">
        <v>53</v>
      </c>
      <c r="C104" s="494"/>
      <c r="D104" s="494"/>
      <c r="E104" s="494"/>
      <c r="F104" s="494"/>
      <c r="G104" s="495"/>
      <c r="H104" s="110" t="s">
        <v>790</v>
      </c>
      <c r="I104" s="176" t="s">
        <v>736</v>
      </c>
      <c r="J104" s="748">
        <v>1</v>
      </c>
      <c r="K104" s="751"/>
      <c r="L104" s="908"/>
      <c r="M104" s="909"/>
      <c r="N104" s="910"/>
      <c r="O104" s="909"/>
      <c r="P104" s="910"/>
      <c r="Q104" s="909"/>
      <c r="R104" s="910"/>
      <c r="S104" s="909"/>
      <c r="T104" s="669" t="s">
        <v>64</v>
      </c>
      <c r="U104" s="670"/>
      <c r="W104" s="1080" t="s">
        <v>719</v>
      </c>
      <c r="X104" s="1081"/>
    </row>
    <row r="105" spans="1:24" s="3" customFormat="1" ht="15" customHeight="1" x14ac:dyDescent="0.25">
      <c r="A105" s="622"/>
      <c r="B105" s="476" t="s">
        <v>73</v>
      </c>
      <c r="C105" s="477"/>
      <c r="D105" s="477"/>
      <c r="E105" s="477"/>
      <c r="F105" s="477"/>
      <c r="G105" s="478"/>
      <c r="H105" s="112"/>
      <c r="I105" s="176" t="s">
        <v>737</v>
      </c>
      <c r="J105" s="749"/>
      <c r="K105" s="752"/>
      <c r="L105" s="921"/>
      <c r="M105" s="922"/>
      <c r="N105" s="923"/>
      <c r="O105" s="922"/>
      <c r="P105" s="923"/>
      <c r="Q105" s="922"/>
      <c r="R105" s="923"/>
      <c r="S105" s="922"/>
      <c r="T105" s="606" t="s">
        <v>63</v>
      </c>
      <c r="U105" s="607"/>
      <c r="W105" s="1082"/>
      <c r="X105" s="1083"/>
    </row>
    <row r="106" spans="1:24" s="3" customFormat="1" ht="15" customHeight="1" x14ac:dyDescent="0.25">
      <c r="A106" s="622"/>
      <c r="B106" s="476" t="s">
        <v>74</v>
      </c>
      <c r="C106" s="477"/>
      <c r="D106" s="477"/>
      <c r="E106" s="477"/>
      <c r="F106" s="477"/>
      <c r="G106" s="478"/>
      <c r="H106" s="112"/>
      <c r="I106" s="176" t="s">
        <v>738</v>
      </c>
      <c r="J106" s="749"/>
      <c r="K106" s="752"/>
      <c r="L106" s="924"/>
      <c r="M106" s="925"/>
      <c r="N106" s="926"/>
      <c r="O106" s="925"/>
      <c r="P106" s="926"/>
      <c r="Q106" s="925"/>
      <c r="R106" s="926"/>
      <c r="S106" s="925"/>
      <c r="T106" s="610" t="s">
        <v>52</v>
      </c>
      <c r="U106" s="611"/>
      <c r="W106" s="1082"/>
      <c r="X106" s="1083"/>
    </row>
    <row r="107" spans="1:24" s="3" customFormat="1" ht="15" customHeight="1" x14ac:dyDescent="0.25">
      <c r="A107" s="622"/>
      <c r="B107" s="454" t="s">
        <v>68</v>
      </c>
      <c r="C107" s="455"/>
      <c r="D107" s="455"/>
      <c r="E107" s="455"/>
      <c r="F107" s="455"/>
      <c r="G107" s="456"/>
      <c r="H107" s="112"/>
      <c r="I107" s="176" t="s">
        <v>739</v>
      </c>
      <c r="J107" s="749"/>
      <c r="K107" s="752"/>
      <c r="L107" s="432"/>
      <c r="M107" s="433"/>
      <c r="N107" s="434"/>
      <c r="O107" s="433"/>
      <c r="P107" s="434"/>
      <c r="Q107" s="433"/>
      <c r="R107" s="434"/>
      <c r="S107" s="433"/>
      <c r="T107" s="762" t="s">
        <v>65</v>
      </c>
      <c r="U107" s="763"/>
      <c r="W107" s="1082"/>
      <c r="X107" s="1083"/>
    </row>
    <row r="108" spans="1:24" s="3" customFormat="1" ht="15" customHeight="1" x14ac:dyDescent="0.25">
      <c r="A108" s="622"/>
      <c r="B108" s="521"/>
      <c r="C108" s="522"/>
      <c r="D108" s="522"/>
      <c r="E108" s="522"/>
      <c r="F108" s="522"/>
      <c r="G108" s="523"/>
      <c r="H108" s="112"/>
      <c r="I108" s="176" t="s">
        <v>81</v>
      </c>
      <c r="J108" s="749"/>
      <c r="K108" s="752"/>
      <c r="L108" s="540"/>
      <c r="M108" s="458"/>
      <c r="N108" s="457"/>
      <c r="O108" s="458"/>
      <c r="P108" s="457"/>
      <c r="Q108" s="458"/>
      <c r="R108" s="457"/>
      <c r="S108" s="458"/>
      <c r="T108" s="608" t="s">
        <v>66</v>
      </c>
      <c r="U108" s="609"/>
      <c r="W108" s="1082"/>
      <c r="X108" s="1083"/>
    </row>
    <row r="109" spans="1:24" s="3" customFormat="1" ht="15" customHeight="1" x14ac:dyDescent="0.25">
      <c r="A109" s="622"/>
      <c r="B109" s="357"/>
      <c r="C109" s="358"/>
      <c r="D109" s="358"/>
      <c r="E109" s="358"/>
      <c r="F109" s="358"/>
      <c r="G109" s="541"/>
      <c r="H109" s="114"/>
      <c r="I109" s="176"/>
      <c r="J109" s="749"/>
      <c r="K109" s="752"/>
      <c r="L109" s="524"/>
      <c r="M109" s="525"/>
      <c r="N109" s="539"/>
      <c r="O109" s="525"/>
      <c r="P109" s="539"/>
      <c r="Q109" s="525"/>
      <c r="R109" s="539"/>
      <c r="S109" s="525"/>
      <c r="T109" s="610" t="s">
        <v>67</v>
      </c>
      <c r="U109" s="611"/>
      <c r="W109" s="1082"/>
      <c r="X109" s="1083"/>
    </row>
    <row r="110" spans="1:24" s="3" customFormat="1" ht="15" customHeight="1" x14ac:dyDescent="0.25">
      <c r="A110" s="622"/>
      <c r="B110" s="357"/>
      <c r="C110" s="358"/>
      <c r="D110" s="358"/>
      <c r="E110" s="358"/>
      <c r="F110" s="358"/>
      <c r="G110" s="541"/>
      <c r="H110" s="114"/>
      <c r="I110" s="176"/>
      <c r="J110" s="749"/>
      <c r="K110" s="752"/>
      <c r="L110" s="160" t="s">
        <v>293</v>
      </c>
      <c r="M110" s="161" t="s">
        <v>361</v>
      </c>
      <c r="N110" s="161" t="s">
        <v>299</v>
      </c>
      <c r="O110" s="161" t="s">
        <v>305</v>
      </c>
      <c r="P110" s="161" t="s">
        <v>224</v>
      </c>
      <c r="Q110" s="161"/>
      <c r="R110" s="161"/>
      <c r="S110" s="161"/>
      <c r="T110" s="161"/>
      <c r="U110" s="162" t="s">
        <v>25</v>
      </c>
      <c r="V110" s="4"/>
      <c r="W110" s="1082"/>
      <c r="X110" s="1083"/>
    </row>
    <row r="111" spans="1:24" s="3" customFormat="1" ht="15" customHeight="1" x14ac:dyDescent="0.25">
      <c r="A111" s="622"/>
      <c r="B111" s="505"/>
      <c r="C111" s="506"/>
      <c r="D111" s="506"/>
      <c r="E111" s="506"/>
      <c r="F111" s="506"/>
      <c r="G111" s="507"/>
      <c r="H111" s="114"/>
      <c r="I111" s="176"/>
      <c r="J111" s="749"/>
      <c r="K111" s="752"/>
      <c r="L111" s="911" t="s">
        <v>732</v>
      </c>
      <c r="M111" s="913" t="s">
        <v>733</v>
      </c>
      <c r="N111" s="913" t="s">
        <v>734</v>
      </c>
      <c r="O111" s="913" t="s">
        <v>735</v>
      </c>
      <c r="P111" s="913" t="s">
        <v>103</v>
      </c>
      <c r="Q111" s="915"/>
      <c r="R111" s="915"/>
      <c r="S111" s="915"/>
      <c r="T111" s="915"/>
      <c r="U111" s="761" t="s">
        <v>44</v>
      </c>
      <c r="W111" s="1082"/>
      <c r="X111" s="1083"/>
    </row>
    <row r="112" spans="1:24" s="3" customFormat="1" ht="15" customHeight="1" thickBot="1" x14ac:dyDescent="0.3">
      <c r="A112" s="622"/>
      <c r="B112" s="451"/>
      <c r="C112" s="452"/>
      <c r="D112" s="452"/>
      <c r="E112" s="452"/>
      <c r="F112" s="452"/>
      <c r="G112" s="453"/>
      <c r="H112" s="117"/>
      <c r="I112" s="177"/>
      <c r="J112" s="750"/>
      <c r="K112" s="753"/>
      <c r="L112" s="912"/>
      <c r="M112" s="914"/>
      <c r="N112" s="914"/>
      <c r="O112" s="914"/>
      <c r="P112" s="914"/>
      <c r="Q112" s="916"/>
      <c r="R112" s="916"/>
      <c r="S112" s="916"/>
      <c r="T112" s="916"/>
      <c r="U112" s="760"/>
      <c r="W112" s="1082"/>
      <c r="X112" s="1083"/>
    </row>
    <row r="113" spans="1:26" s="3" customFormat="1" ht="15" customHeight="1" thickTop="1" x14ac:dyDescent="0.2">
      <c r="A113" s="622"/>
      <c r="B113" s="493" t="s">
        <v>53</v>
      </c>
      <c r="C113" s="494"/>
      <c r="D113" s="494"/>
      <c r="E113" s="494"/>
      <c r="F113" s="494"/>
      <c r="G113" s="495"/>
      <c r="H113" s="110" t="s">
        <v>790</v>
      </c>
      <c r="I113" s="113" t="s">
        <v>741</v>
      </c>
      <c r="J113" s="748">
        <v>1</v>
      </c>
      <c r="K113" s="751"/>
      <c r="L113" s="908"/>
      <c r="M113" s="909"/>
      <c r="N113" s="910"/>
      <c r="O113" s="909"/>
      <c r="P113" s="910"/>
      <c r="Q113" s="909"/>
      <c r="R113" s="910"/>
      <c r="S113" s="909"/>
      <c r="T113" s="669" t="s">
        <v>64</v>
      </c>
      <c r="U113" s="670"/>
      <c r="W113" s="1084" t="s">
        <v>720</v>
      </c>
      <c r="X113" s="1085"/>
    </row>
    <row r="114" spans="1:26" s="3" customFormat="1" ht="15" customHeight="1" x14ac:dyDescent="0.2">
      <c r="A114" s="622"/>
      <c r="B114" s="476" t="s">
        <v>93</v>
      </c>
      <c r="C114" s="477"/>
      <c r="D114" s="477"/>
      <c r="E114" s="477"/>
      <c r="F114" s="477"/>
      <c r="G114" s="478"/>
      <c r="H114" s="112"/>
      <c r="I114" s="113" t="s">
        <v>742</v>
      </c>
      <c r="J114" s="749"/>
      <c r="K114" s="752"/>
      <c r="L114" s="921"/>
      <c r="M114" s="922"/>
      <c r="N114" s="923"/>
      <c r="O114" s="922"/>
      <c r="P114" s="923"/>
      <c r="Q114" s="922"/>
      <c r="R114" s="923"/>
      <c r="S114" s="922"/>
      <c r="T114" s="606" t="s">
        <v>63</v>
      </c>
      <c r="U114" s="607"/>
      <c r="W114" s="1086"/>
      <c r="X114" s="1087"/>
    </row>
    <row r="115" spans="1:26" s="3" customFormat="1" ht="15" customHeight="1" x14ac:dyDescent="0.2">
      <c r="A115" s="622"/>
      <c r="B115" s="476" t="s">
        <v>740</v>
      </c>
      <c r="C115" s="477"/>
      <c r="D115" s="477"/>
      <c r="E115" s="477"/>
      <c r="F115" s="477"/>
      <c r="G115" s="478"/>
      <c r="H115" s="112"/>
      <c r="I115" s="113" t="s">
        <v>743</v>
      </c>
      <c r="J115" s="749"/>
      <c r="K115" s="752"/>
      <c r="L115" s="924"/>
      <c r="M115" s="925"/>
      <c r="N115" s="926"/>
      <c r="O115" s="925"/>
      <c r="P115" s="926"/>
      <c r="Q115" s="925"/>
      <c r="R115" s="926"/>
      <c r="S115" s="925"/>
      <c r="T115" s="610" t="s">
        <v>52</v>
      </c>
      <c r="U115" s="611"/>
      <c r="W115" s="1086"/>
      <c r="X115" s="1087"/>
    </row>
    <row r="116" spans="1:26" s="3" customFormat="1" ht="15" customHeight="1" x14ac:dyDescent="0.2">
      <c r="A116" s="622"/>
      <c r="B116" s="454" t="s">
        <v>68</v>
      </c>
      <c r="C116" s="455"/>
      <c r="D116" s="455"/>
      <c r="E116" s="455"/>
      <c r="F116" s="455"/>
      <c r="G116" s="456"/>
      <c r="H116" s="112"/>
      <c r="I116" s="113" t="s">
        <v>744</v>
      </c>
      <c r="J116" s="749"/>
      <c r="K116" s="752"/>
      <c r="L116" s="432"/>
      <c r="M116" s="433"/>
      <c r="N116" s="434"/>
      <c r="O116" s="433"/>
      <c r="P116" s="434"/>
      <c r="Q116" s="433"/>
      <c r="R116" s="434"/>
      <c r="S116" s="433"/>
      <c r="T116" s="762" t="s">
        <v>65</v>
      </c>
      <c r="U116" s="763"/>
      <c r="W116" s="1086"/>
      <c r="X116" s="1087"/>
    </row>
    <row r="117" spans="1:26" s="3" customFormat="1" ht="15" customHeight="1" x14ac:dyDescent="0.2">
      <c r="A117" s="622"/>
      <c r="B117" s="521"/>
      <c r="C117" s="522"/>
      <c r="D117" s="522"/>
      <c r="E117" s="522"/>
      <c r="F117" s="522"/>
      <c r="G117" s="523"/>
      <c r="H117" s="112"/>
      <c r="I117" s="113" t="s">
        <v>99</v>
      </c>
      <c r="J117" s="749"/>
      <c r="K117" s="752"/>
      <c r="L117" s="540"/>
      <c r="M117" s="458"/>
      <c r="N117" s="457"/>
      <c r="O117" s="458"/>
      <c r="P117" s="457"/>
      <c r="Q117" s="458"/>
      <c r="R117" s="457"/>
      <c r="S117" s="458"/>
      <c r="T117" s="608" t="s">
        <v>66</v>
      </c>
      <c r="U117" s="609"/>
      <c r="W117" s="1086"/>
      <c r="X117" s="1087"/>
    </row>
    <row r="118" spans="1:26" s="3" customFormat="1" ht="15" customHeight="1" x14ac:dyDescent="0.2">
      <c r="A118" s="622"/>
      <c r="B118" s="357"/>
      <c r="C118" s="358"/>
      <c r="D118" s="358"/>
      <c r="E118" s="358"/>
      <c r="F118" s="358"/>
      <c r="G118" s="541"/>
      <c r="H118" s="114"/>
      <c r="I118" s="113"/>
      <c r="J118" s="749"/>
      <c r="K118" s="752"/>
      <c r="L118" s="524"/>
      <c r="M118" s="525"/>
      <c r="N118" s="539"/>
      <c r="O118" s="525"/>
      <c r="P118" s="539"/>
      <c r="Q118" s="525"/>
      <c r="R118" s="539"/>
      <c r="S118" s="525"/>
      <c r="T118" s="610" t="s">
        <v>67</v>
      </c>
      <c r="U118" s="611"/>
      <c r="W118" s="1086"/>
      <c r="X118" s="1087"/>
    </row>
    <row r="119" spans="1:26" s="3" customFormat="1" ht="15" customHeight="1" x14ac:dyDescent="0.2">
      <c r="A119" s="622"/>
      <c r="B119" s="357"/>
      <c r="C119" s="358"/>
      <c r="D119" s="358"/>
      <c r="E119" s="358"/>
      <c r="F119" s="358"/>
      <c r="G119" s="541"/>
      <c r="H119" s="114"/>
      <c r="I119" s="113"/>
      <c r="J119" s="749"/>
      <c r="K119" s="752"/>
      <c r="L119" s="160" t="s">
        <v>293</v>
      </c>
      <c r="M119" s="161" t="s">
        <v>361</v>
      </c>
      <c r="N119" s="161" t="s">
        <v>299</v>
      </c>
      <c r="O119" s="161" t="s">
        <v>305</v>
      </c>
      <c r="P119" s="161" t="s">
        <v>224</v>
      </c>
      <c r="Q119" s="161"/>
      <c r="R119" s="161"/>
      <c r="S119" s="161"/>
      <c r="T119" s="161"/>
      <c r="U119" s="162" t="s">
        <v>25</v>
      </c>
      <c r="W119" s="1086"/>
      <c r="X119" s="1087"/>
    </row>
    <row r="120" spans="1:26" s="3" customFormat="1" ht="15" customHeight="1" x14ac:dyDescent="0.2">
      <c r="A120" s="622"/>
      <c r="B120" s="505"/>
      <c r="C120" s="506"/>
      <c r="D120" s="506"/>
      <c r="E120" s="506"/>
      <c r="F120" s="506"/>
      <c r="G120" s="507"/>
      <c r="H120" s="114"/>
      <c r="I120" s="113"/>
      <c r="J120" s="749"/>
      <c r="K120" s="752"/>
      <c r="L120" s="911" t="s">
        <v>732</v>
      </c>
      <c r="M120" s="913" t="s">
        <v>733</v>
      </c>
      <c r="N120" s="913" t="s">
        <v>734</v>
      </c>
      <c r="O120" s="913" t="s">
        <v>735</v>
      </c>
      <c r="P120" s="913" t="s">
        <v>103</v>
      </c>
      <c r="Q120" s="1088"/>
      <c r="R120" s="1088"/>
      <c r="S120" s="1088"/>
      <c r="T120" s="1088"/>
      <c r="U120" s="761" t="s">
        <v>44</v>
      </c>
      <c r="W120" s="1086"/>
      <c r="X120" s="1087"/>
    </row>
    <row r="121" spans="1:26" s="3" customFormat="1" ht="15" customHeight="1" thickBot="1" x14ac:dyDescent="0.25">
      <c r="A121" s="622"/>
      <c r="B121" s="451"/>
      <c r="C121" s="452"/>
      <c r="D121" s="452"/>
      <c r="E121" s="452"/>
      <c r="F121" s="452"/>
      <c r="G121" s="453"/>
      <c r="H121" s="117"/>
      <c r="I121" s="178"/>
      <c r="J121" s="750"/>
      <c r="K121" s="753"/>
      <c r="L121" s="912"/>
      <c r="M121" s="914"/>
      <c r="N121" s="914"/>
      <c r="O121" s="914"/>
      <c r="P121" s="914"/>
      <c r="Q121" s="1089"/>
      <c r="R121" s="1089"/>
      <c r="S121" s="1089"/>
      <c r="T121" s="1089"/>
      <c r="U121" s="760"/>
      <c r="W121" s="1086"/>
      <c r="X121" s="1087"/>
    </row>
    <row r="122" spans="1:26" s="3" customFormat="1" ht="15" customHeight="1" thickTop="1" x14ac:dyDescent="0.2">
      <c r="A122" s="622"/>
      <c r="B122" s="493"/>
      <c r="C122" s="494"/>
      <c r="D122" s="494"/>
      <c r="E122" s="494"/>
      <c r="F122" s="494"/>
      <c r="G122" s="495"/>
      <c r="H122" s="110" t="s">
        <v>790</v>
      </c>
      <c r="I122" s="111"/>
      <c r="J122" s="748">
        <v>2</v>
      </c>
      <c r="K122" s="751"/>
      <c r="L122" s="908"/>
      <c r="M122" s="909"/>
      <c r="N122" s="910"/>
      <c r="O122" s="909"/>
      <c r="P122" s="910"/>
      <c r="Q122" s="909"/>
      <c r="R122" s="910"/>
      <c r="S122" s="909"/>
      <c r="T122" s="669" t="s">
        <v>64</v>
      </c>
      <c r="U122" s="670"/>
      <c r="W122" s="1076" t="s">
        <v>141</v>
      </c>
      <c r="X122" s="1090"/>
      <c r="Y122" s="1092" t="s">
        <v>112</v>
      </c>
      <c r="Z122" s="1093"/>
    </row>
    <row r="123" spans="1:26" s="3" customFormat="1" ht="15" customHeight="1" x14ac:dyDescent="0.2">
      <c r="A123" s="622"/>
      <c r="B123" s="476"/>
      <c r="C123" s="477"/>
      <c r="D123" s="477"/>
      <c r="E123" s="477"/>
      <c r="F123" s="477"/>
      <c r="G123" s="478"/>
      <c r="H123" s="112"/>
      <c r="I123" s="113"/>
      <c r="J123" s="749"/>
      <c r="K123" s="752"/>
      <c r="L123" s="921"/>
      <c r="M123" s="922"/>
      <c r="N123" s="923"/>
      <c r="O123" s="922"/>
      <c r="P123" s="923"/>
      <c r="Q123" s="922"/>
      <c r="R123" s="923"/>
      <c r="S123" s="922"/>
      <c r="T123" s="606" t="s">
        <v>63</v>
      </c>
      <c r="U123" s="607"/>
      <c r="W123" s="1078"/>
      <c r="X123" s="1091"/>
      <c r="Y123" s="1094"/>
      <c r="Z123" s="1095"/>
    </row>
    <row r="124" spans="1:26" s="3" customFormat="1" ht="15" customHeight="1" x14ac:dyDescent="0.2">
      <c r="A124" s="622"/>
      <c r="B124" s="476"/>
      <c r="C124" s="477"/>
      <c r="D124" s="477"/>
      <c r="E124" s="477"/>
      <c r="F124" s="477"/>
      <c r="G124" s="478"/>
      <c r="H124" s="112"/>
      <c r="I124" s="113"/>
      <c r="J124" s="749"/>
      <c r="K124" s="752"/>
      <c r="L124" s="924"/>
      <c r="M124" s="925"/>
      <c r="N124" s="926"/>
      <c r="O124" s="925"/>
      <c r="P124" s="926"/>
      <c r="Q124" s="925"/>
      <c r="R124" s="926"/>
      <c r="S124" s="925"/>
      <c r="T124" s="610" t="s">
        <v>52</v>
      </c>
      <c r="U124" s="611"/>
      <c r="W124" s="1078"/>
      <c r="X124" s="1091"/>
      <c r="Y124" s="1094"/>
      <c r="Z124" s="1095"/>
    </row>
    <row r="125" spans="1:26" s="3" customFormat="1" ht="15" customHeight="1" x14ac:dyDescent="0.2">
      <c r="A125" s="622"/>
      <c r="B125" s="454" t="s">
        <v>69</v>
      </c>
      <c r="C125" s="455"/>
      <c r="D125" s="455"/>
      <c r="E125" s="455"/>
      <c r="F125" s="455"/>
      <c r="G125" s="456"/>
      <c r="H125" s="112"/>
      <c r="I125" s="113"/>
      <c r="J125" s="749"/>
      <c r="K125" s="752"/>
      <c r="L125" s="432"/>
      <c r="M125" s="433"/>
      <c r="N125" s="434"/>
      <c r="O125" s="433"/>
      <c r="P125" s="434"/>
      <c r="Q125" s="433"/>
      <c r="R125" s="434"/>
      <c r="S125" s="433"/>
      <c r="T125" s="762" t="s">
        <v>65</v>
      </c>
      <c r="U125" s="763"/>
      <c r="W125" s="1078"/>
      <c r="X125" s="1091"/>
      <c r="Y125" s="1094"/>
      <c r="Z125" s="1095"/>
    </row>
    <row r="126" spans="1:26" s="3" customFormat="1" ht="15" customHeight="1" x14ac:dyDescent="0.2">
      <c r="A126" s="622"/>
      <c r="B126" s="454" t="s">
        <v>130</v>
      </c>
      <c r="C126" s="455"/>
      <c r="D126" s="455"/>
      <c r="E126" s="455"/>
      <c r="F126" s="455"/>
      <c r="G126" s="456"/>
      <c r="H126" s="112"/>
      <c r="I126" s="113"/>
      <c r="J126" s="749"/>
      <c r="K126" s="752"/>
      <c r="L126" s="540"/>
      <c r="M126" s="458"/>
      <c r="N126" s="457"/>
      <c r="O126" s="458"/>
      <c r="P126" s="457"/>
      <c r="Q126" s="458"/>
      <c r="R126" s="457"/>
      <c r="S126" s="458"/>
      <c r="T126" s="608" t="s">
        <v>66</v>
      </c>
      <c r="U126" s="609"/>
      <c r="W126" s="1078"/>
      <c r="X126" s="1091"/>
      <c r="Y126" s="1094"/>
      <c r="Z126" s="1095"/>
    </row>
    <row r="127" spans="1:26" s="3" customFormat="1" ht="15" customHeight="1" x14ac:dyDescent="0.2">
      <c r="A127" s="622"/>
      <c r="B127" s="357"/>
      <c r="C127" s="358"/>
      <c r="D127" s="358"/>
      <c r="E127" s="358"/>
      <c r="F127" s="358"/>
      <c r="G127" s="541"/>
      <c r="H127" s="114"/>
      <c r="I127" s="113"/>
      <c r="J127" s="749"/>
      <c r="K127" s="752"/>
      <c r="L127" s="524"/>
      <c r="M127" s="525"/>
      <c r="N127" s="539"/>
      <c r="O127" s="525"/>
      <c r="P127" s="539"/>
      <c r="Q127" s="525"/>
      <c r="R127" s="539"/>
      <c r="S127" s="525"/>
      <c r="T127" s="610" t="s">
        <v>67</v>
      </c>
      <c r="U127" s="611"/>
      <c r="W127" s="1078"/>
      <c r="X127" s="1091"/>
      <c r="Y127" s="1094"/>
      <c r="Z127" s="1095"/>
    </row>
    <row r="128" spans="1:26" s="3" customFormat="1" ht="15" customHeight="1" x14ac:dyDescent="0.2">
      <c r="A128" s="622"/>
      <c r="B128" s="505"/>
      <c r="C128" s="506"/>
      <c r="D128" s="506"/>
      <c r="E128" s="506"/>
      <c r="F128" s="506"/>
      <c r="G128" s="507"/>
      <c r="H128" s="114"/>
      <c r="I128" s="113"/>
      <c r="J128" s="749"/>
      <c r="K128" s="752"/>
      <c r="L128" s="160" t="s">
        <v>293</v>
      </c>
      <c r="M128" s="161" t="s">
        <v>361</v>
      </c>
      <c r="N128" s="161" t="s">
        <v>299</v>
      </c>
      <c r="O128" s="161" t="s">
        <v>305</v>
      </c>
      <c r="P128" s="161" t="s">
        <v>224</v>
      </c>
      <c r="Q128" s="161"/>
      <c r="R128" s="161"/>
      <c r="S128" s="161"/>
      <c r="T128" s="161"/>
      <c r="U128" s="162" t="s">
        <v>25</v>
      </c>
      <c r="W128" s="1078"/>
      <c r="X128" s="1091"/>
      <c r="Y128" s="1094"/>
      <c r="Z128" s="1095"/>
    </row>
    <row r="129" spans="1:31" s="3" customFormat="1" ht="15" customHeight="1" x14ac:dyDescent="0.2">
      <c r="A129" s="622"/>
      <c r="B129" s="505"/>
      <c r="C129" s="506"/>
      <c r="D129" s="506"/>
      <c r="E129" s="506"/>
      <c r="F129" s="506"/>
      <c r="G129" s="507"/>
      <c r="H129" s="114"/>
      <c r="I129" s="113"/>
      <c r="J129" s="749"/>
      <c r="K129" s="752"/>
      <c r="L129" s="911"/>
      <c r="M129" s="913"/>
      <c r="N129" s="913"/>
      <c r="O129" s="913"/>
      <c r="P129" s="913"/>
      <c r="Q129" s="915"/>
      <c r="R129" s="915"/>
      <c r="S129" s="915"/>
      <c r="T129" s="915"/>
      <c r="U129" s="761" t="s">
        <v>44</v>
      </c>
      <c r="W129" s="1078"/>
      <c r="X129" s="1091"/>
      <c r="Y129" s="1094"/>
      <c r="Z129" s="1095"/>
    </row>
    <row r="130" spans="1:31" s="3" customFormat="1" ht="15" customHeight="1" thickBot="1" x14ac:dyDescent="0.25">
      <c r="A130" s="622"/>
      <c r="B130" s="451"/>
      <c r="C130" s="452"/>
      <c r="D130" s="452"/>
      <c r="E130" s="452"/>
      <c r="F130" s="452"/>
      <c r="G130" s="453"/>
      <c r="H130" s="117"/>
      <c r="I130" s="118"/>
      <c r="J130" s="750"/>
      <c r="K130" s="753"/>
      <c r="L130" s="912"/>
      <c r="M130" s="914"/>
      <c r="N130" s="914"/>
      <c r="O130" s="914"/>
      <c r="P130" s="914"/>
      <c r="Q130" s="916"/>
      <c r="R130" s="916"/>
      <c r="S130" s="916"/>
      <c r="T130" s="916"/>
      <c r="U130" s="760"/>
      <c r="W130" s="1078"/>
      <c r="X130" s="1091"/>
      <c r="Y130" s="1096"/>
      <c r="Z130" s="1097"/>
    </row>
    <row r="131" spans="1:31" ht="15" customHeight="1" thickTop="1" x14ac:dyDescent="0.2">
      <c r="A131" s="116"/>
      <c r="B131" s="493"/>
      <c r="C131" s="494"/>
      <c r="D131" s="494"/>
      <c r="E131" s="494"/>
      <c r="F131" s="494"/>
      <c r="G131" s="495"/>
      <c r="H131" s="110" t="s">
        <v>790</v>
      </c>
      <c r="I131" s="111"/>
      <c r="J131" s="748">
        <v>1</v>
      </c>
      <c r="K131" s="751"/>
      <c r="L131" s="908"/>
      <c r="M131" s="909"/>
      <c r="N131" s="910"/>
      <c r="O131" s="909"/>
      <c r="P131" s="910"/>
      <c r="Q131" s="909"/>
      <c r="R131" s="910"/>
      <c r="S131" s="909"/>
      <c r="T131" s="669" t="s">
        <v>64</v>
      </c>
      <c r="U131" s="670"/>
      <c r="V131" s="3"/>
      <c r="W131" s="1080" t="s">
        <v>142</v>
      </c>
      <c r="X131" s="1098"/>
    </row>
    <row r="132" spans="1:31" ht="15" customHeight="1" x14ac:dyDescent="0.2">
      <c r="A132" s="116"/>
      <c r="B132" s="476"/>
      <c r="C132" s="477"/>
      <c r="D132" s="477"/>
      <c r="E132" s="477"/>
      <c r="F132" s="477"/>
      <c r="G132" s="478"/>
      <c r="H132" s="112"/>
      <c r="I132" s="113"/>
      <c r="J132" s="749"/>
      <c r="K132" s="752"/>
      <c r="L132" s="921"/>
      <c r="M132" s="922"/>
      <c r="N132" s="923"/>
      <c r="O132" s="922"/>
      <c r="P132" s="923"/>
      <c r="Q132" s="922"/>
      <c r="R132" s="923"/>
      <c r="S132" s="922"/>
      <c r="T132" s="606" t="s">
        <v>63</v>
      </c>
      <c r="U132" s="607"/>
      <c r="V132" s="3"/>
      <c r="W132" s="1082"/>
      <c r="X132" s="1099"/>
    </row>
    <row r="133" spans="1:31" s="5" customFormat="1" ht="15" customHeight="1" x14ac:dyDescent="0.2">
      <c r="A133" s="116"/>
      <c r="B133" s="476"/>
      <c r="C133" s="477"/>
      <c r="D133" s="477"/>
      <c r="E133" s="477"/>
      <c r="F133" s="477"/>
      <c r="G133" s="478"/>
      <c r="H133" s="112"/>
      <c r="I133" s="113"/>
      <c r="J133" s="749"/>
      <c r="K133" s="752"/>
      <c r="L133" s="924"/>
      <c r="M133" s="925"/>
      <c r="N133" s="926"/>
      <c r="O133" s="925"/>
      <c r="P133" s="926"/>
      <c r="Q133" s="925"/>
      <c r="R133" s="926"/>
      <c r="S133" s="925"/>
      <c r="T133" s="610" t="s">
        <v>52</v>
      </c>
      <c r="U133" s="611"/>
      <c r="V133" s="3"/>
      <c r="W133" s="1082"/>
      <c r="X133" s="1099"/>
      <c r="Y133" s="2"/>
      <c r="Z133" s="2"/>
      <c r="AA133" s="2"/>
      <c r="AB133" s="2"/>
      <c r="AC133" s="2"/>
      <c r="AD133" s="2"/>
      <c r="AE133" s="2"/>
    </row>
    <row r="134" spans="1:31" s="5" customFormat="1" ht="15" customHeight="1" x14ac:dyDescent="0.2">
      <c r="A134" s="116"/>
      <c r="B134" s="454" t="s">
        <v>145</v>
      </c>
      <c r="C134" s="455"/>
      <c r="D134" s="455"/>
      <c r="E134" s="455"/>
      <c r="F134" s="455"/>
      <c r="G134" s="456"/>
      <c r="H134" s="112"/>
      <c r="I134" s="113"/>
      <c r="J134" s="749"/>
      <c r="K134" s="752"/>
      <c r="L134" s="432"/>
      <c r="M134" s="433"/>
      <c r="N134" s="434"/>
      <c r="O134" s="433"/>
      <c r="P134" s="434"/>
      <c r="Q134" s="433"/>
      <c r="R134" s="434"/>
      <c r="S134" s="433"/>
      <c r="T134" s="762" t="s">
        <v>65</v>
      </c>
      <c r="U134" s="763"/>
      <c r="V134" s="3"/>
      <c r="W134" s="1082"/>
      <c r="X134" s="1099"/>
      <c r="Y134" s="2"/>
      <c r="Z134" s="2"/>
      <c r="AA134" s="2"/>
      <c r="AB134" s="2"/>
      <c r="AC134" s="2"/>
      <c r="AD134" s="2"/>
      <c r="AE134" s="2"/>
    </row>
    <row r="135" spans="1:31" s="5" customFormat="1" ht="15" customHeight="1" x14ac:dyDescent="0.2">
      <c r="A135" s="116"/>
      <c r="B135" s="521"/>
      <c r="C135" s="522"/>
      <c r="D135" s="522"/>
      <c r="E135" s="522"/>
      <c r="F135" s="522"/>
      <c r="G135" s="523"/>
      <c r="H135" s="112"/>
      <c r="I135" s="113"/>
      <c r="J135" s="749"/>
      <c r="K135" s="752"/>
      <c r="L135" s="540"/>
      <c r="M135" s="458"/>
      <c r="N135" s="457"/>
      <c r="O135" s="458"/>
      <c r="P135" s="457"/>
      <c r="Q135" s="458"/>
      <c r="R135" s="457"/>
      <c r="S135" s="458"/>
      <c r="T135" s="608" t="s">
        <v>66</v>
      </c>
      <c r="U135" s="609"/>
      <c r="V135" s="3"/>
      <c r="W135" s="1082"/>
      <c r="X135" s="1099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16"/>
      <c r="B136" s="357"/>
      <c r="C136" s="358"/>
      <c r="D136" s="358"/>
      <c r="E136" s="358"/>
      <c r="F136" s="358"/>
      <c r="G136" s="541"/>
      <c r="H136" s="114"/>
      <c r="I136" s="113"/>
      <c r="J136" s="749"/>
      <c r="K136" s="752"/>
      <c r="L136" s="524"/>
      <c r="M136" s="525"/>
      <c r="N136" s="539"/>
      <c r="O136" s="525"/>
      <c r="P136" s="539"/>
      <c r="Q136" s="525"/>
      <c r="R136" s="539"/>
      <c r="S136" s="525"/>
      <c r="T136" s="610" t="s">
        <v>67</v>
      </c>
      <c r="U136" s="611"/>
      <c r="V136" s="3"/>
      <c r="W136" s="1082"/>
      <c r="X136" s="1099"/>
    </row>
    <row r="137" spans="1:31" ht="15" customHeight="1" x14ac:dyDescent="0.2">
      <c r="A137" s="116"/>
      <c r="B137" s="505"/>
      <c r="C137" s="506"/>
      <c r="D137" s="506"/>
      <c r="E137" s="506"/>
      <c r="F137" s="506"/>
      <c r="G137" s="507"/>
      <c r="H137" s="114"/>
      <c r="I137" s="113"/>
      <c r="J137" s="749"/>
      <c r="K137" s="752"/>
      <c r="L137" s="160" t="s">
        <v>293</v>
      </c>
      <c r="M137" s="161" t="s">
        <v>361</v>
      </c>
      <c r="N137" s="161" t="s">
        <v>299</v>
      </c>
      <c r="O137" s="161" t="s">
        <v>305</v>
      </c>
      <c r="P137" s="161" t="s">
        <v>224</v>
      </c>
      <c r="Q137" s="161"/>
      <c r="R137" s="161"/>
      <c r="S137" s="161"/>
      <c r="T137" s="161"/>
      <c r="U137" s="162" t="s">
        <v>25</v>
      </c>
      <c r="V137" s="3"/>
      <c r="W137" s="1082"/>
      <c r="X137" s="1099"/>
    </row>
    <row r="138" spans="1:31" ht="15" customHeight="1" x14ac:dyDescent="0.2">
      <c r="A138" s="116"/>
      <c r="B138" s="505"/>
      <c r="C138" s="506"/>
      <c r="D138" s="506"/>
      <c r="E138" s="506"/>
      <c r="F138" s="506"/>
      <c r="G138" s="507"/>
      <c r="H138" s="114"/>
      <c r="I138" s="113"/>
      <c r="J138" s="749"/>
      <c r="K138" s="752"/>
      <c r="L138" s="1100"/>
      <c r="M138" s="1102"/>
      <c r="N138" s="1102"/>
      <c r="O138" s="1102"/>
      <c r="P138" s="1102"/>
      <c r="Q138" s="1088"/>
      <c r="R138" s="1088"/>
      <c r="S138" s="1088"/>
      <c r="T138" s="1088"/>
      <c r="U138" s="761" t="s">
        <v>44</v>
      </c>
      <c r="V138" s="3"/>
      <c r="W138" s="1082"/>
      <c r="X138" s="1099"/>
    </row>
    <row r="139" spans="1:31" ht="15" customHeight="1" thickBot="1" x14ac:dyDescent="0.25">
      <c r="A139" s="116"/>
      <c r="B139" s="451"/>
      <c r="C139" s="452"/>
      <c r="D139" s="452"/>
      <c r="E139" s="452"/>
      <c r="F139" s="452"/>
      <c r="G139" s="453"/>
      <c r="H139" s="117"/>
      <c r="I139" s="118"/>
      <c r="J139" s="750"/>
      <c r="K139" s="753"/>
      <c r="L139" s="1101"/>
      <c r="M139" s="1103"/>
      <c r="N139" s="1103"/>
      <c r="O139" s="1103"/>
      <c r="P139" s="1103"/>
      <c r="Q139" s="1089"/>
      <c r="R139" s="1089"/>
      <c r="S139" s="1089"/>
      <c r="T139" s="1089"/>
      <c r="U139" s="760"/>
      <c r="V139" s="3"/>
      <c r="W139" s="1082"/>
      <c r="X139" s="1099"/>
    </row>
    <row r="140" spans="1:31" ht="15" customHeight="1" thickTop="1" x14ac:dyDescent="0.2">
      <c r="A140" s="116"/>
      <c r="B140" s="493"/>
      <c r="C140" s="494"/>
      <c r="D140" s="494"/>
      <c r="E140" s="494"/>
      <c r="F140" s="494"/>
      <c r="G140" s="495"/>
      <c r="H140" s="110"/>
      <c r="I140" s="111"/>
      <c r="J140" s="748">
        <v>1</v>
      </c>
      <c r="K140" s="751"/>
      <c r="L140" s="908"/>
      <c r="M140" s="909"/>
      <c r="N140" s="910"/>
      <c r="O140" s="909"/>
      <c r="P140" s="910"/>
      <c r="Q140" s="909"/>
      <c r="R140" s="910"/>
      <c r="S140" s="909"/>
      <c r="T140" s="669" t="s">
        <v>64</v>
      </c>
      <c r="U140" s="670"/>
      <c r="W140" s="1084" t="s">
        <v>146</v>
      </c>
      <c r="X140" s="1085"/>
    </row>
    <row r="141" spans="1:31" ht="15" customHeight="1" x14ac:dyDescent="0.2">
      <c r="A141" s="116"/>
      <c r="B141" s="476"/>
      <c r="C141" s="477"/>
      <c r="D141" s="477"/>
      <c r="E141" s="477"/>
      <c r="F141" s="477"/>
      <c r="G141" s="478"/>
      <c r="H141" s="112"/>
      <c r="I141" s="113"/>
      <c r="J141" s="749"/>
      <c r="K141" s="752"/>
      <c r="L141" s="921"/>
      <c r="M141" s="922"/>
      <c r="N141" s="923"/>
      <c r="O141" s="922"/>
      <c r="P141" s="923"/>
      <c r="Q141" s="922"/>
      <c r="R141" s="923"/>
      <c r="S141" s="922"/>
      <c r="T141" s="606" t="s">
        <v>63</v>
      </c>
      <c r="U141" s="607"/>
      <c r="W141" s="1086"/>
      <c r="X141" s="1087"/>
    </row>
    <row r="142" spans="1:31" ht="15" customHeight="1" x14ac:dyDescent="0.2">
      <c r="A142" s="116"/>
      <c r="B142" s="476"/>
      <c r="C142" s="477"/>
      <c r="D142" s="477"/>
      <c r="E142" s="477"/>
      <c r="F142" s="477"/>
      <c r="G142" s="478"/>
      <c r="H142" s="112"/>
      <c r="I142" s="113"/>
      <c r="J142" s="749"/>
      <c r="K142" s="752"/>
      <c r="L142" s="924"/>
      <c r="M142" s="925"/>
      <c r="N142" s="926"/>
      <c r="O142" s="925"/>
      <c r="P142" s="926"/>
      <c r="Q142" s="925"/>
      <c r="R142" s="926"/>
      <c r="S142" s="925"/>
      <c r="T142" s="610" t="s">
        <v>52</v>
      </c>
      <c r="U142" s="611"/>
      <c r="W142" s="1086"/>
      <c r="X142" s="1087"/>
    </row>
    <row r="143" spans="1:31" ht="15" customHeight="1" x14ac:dyDescent="0.2">
      <c r="A143" s="116"/>
      <c r="B143" s="454"/>
      <c r="C143" s="455"/>
      <c r="D143" s="455"/>
      <c r="E143" s="455"/>
      <c r="F143" s="455"/>
      <c r="G143" s="456"/>
      <c r="H143" s="112"/>
      <c r="I143" s="113"/>
      <c r="J143" s="749"/>
      <c r="K143" s="752"/>
      <c r="L143" s="432"/>
      <c r="M143" s="433"/>
      <c r="N143" s="434"/>
      <c r="O143" s="433"/>
      <c r="P143" s="434"/>
      <c r="Q143" s="433"/>
      <c r="R143" s="434"/>
      <c r="S143" s="433"/>
      <c r="T143" s="762" t="s">
        <v>65</v>
      </c>
      <c r="U143" s="763"/>
      <c r="W143" s="1086"/>
      <c r="X143" s="1087"/>
    </row>
    <row r="144" spans="1:31" ht="15" customHeight="1" x14ac:dyDescent="0.2">
      <c r="A144" s="116"/>
      <c r="B144" s="521"/>
      <c r="C144" s="522"/>
      <c r="D144" s="522"/>
      <c r="E144" s="522"/>
      <c r="F144" s="522"/>
      <c r="G144" s="523"/>
      <c r="H144" s="112"/>
      <c r="I144" s="113"/>
      <c r="J144" s="749"/>
      <c r="K144" s="752"/>
      <c r="L144" s="540"/>
      <c r="M144" s="458"/>
      <c r="N144" s="457"/>
      <c r="O144" s="458"/>
      <c r="P144" s="457"/>
      <c r="Q144" s="458"/>
      <c r="R144" s="457"/>
      <c r="S144" s="458"/>
      <c r="T144" s="608" t="s">
        <v>66</v>
      </c>
      <c r="U144" s="609"/>
      <c r="W144" s="1086"/>
      <c r="X144" s="1087"/>
    </row>
    <row r="145" spans="1:26" ht="15" customHeight="1" x14ac:dyDescent="0.2">
      <c r="A145" s="116"/>
      <c r="B145" s="357"/>
      <c r="C145" s="358"/>
      <c r="D145" s="358"/>
      <c r="E145" s="358"/>
      <c r="F145" s="358"/>
      <c r="G145" s="541"/>
      <c r="H145" s="114"/>
      <c r="I145" s="113"/>
      <c r="J145" s="749"/>
      <c r="K145" s="752"/>
      <c r="L145" s="524"/>
      <c r="M145" s="525"/>
      <c r="N145" s="539"/>
      <c r="O145" s="525"/>
      <c r="P145" s="539"/>
      <c r="Q145" s="525"/>
      <c r="R145" s="539"/>
      <c r="S145" s="525"/>
      <c r="T145" s="610" t="s">
        <v>67</v>
      </c>
      <c r="U145" s="611"/>
      <c r="W145" s="1086"/>
      <c r="X145" s="1087"/>
    </row>
    <row r="146" spans="1:26" ht="15" customHeight="1" x14ac:dyDescent="0.2">
      <c r="A146" s="116"/>
      <c r="B146" s="505"/>
      <c r="C146" s="506"/>
      <c r="D146" s="506"/>
      <c r="E146" s="506"/>
      <c r="F146" s="506"/>
      <c r="G146" s="507"/>
      <c r="H146" s="114"/>
      <c r="I146" s="113"/>
      <c r="J146" s="749"/>
      <c r="K146" s="752"/>
      <c r="L146" s="160" t="s">
        <v>293</v>
      </c>
      <c r="M146" s="161" t="s">
        <v>361</v>
      </c>
      <c r="N146" s="161" t="s">
        <v>299</v>
      </c>
      <c r="O146" s="161" t="s">
        <v>305</v>
      </c>
      <c r="P146" s="161" t="s">
        <v>224</v>
      </c>
      <c r="Q146" s="161"/>
      <c r="R146" s="161"/>
      <c r="S146" s="161"/>
      <c r="T146" s="161"/>
      <c r="U146" s="162" t="s">
        <v>25</v>
      </c>
      <c r="W146" s="1086"/>
      <c r="X146" s="1087"/>
    </row>
    <row r="147" spans="1:26" ht="15" customHeight="1" x14ac:dyDescent="0.2">
      <c r="A147" s="116"/>
      <c r="B147" s="505"/>
      <c r="C147" s="506"/>
      <c r="D147" s="506"/>
      <c r="E147" s="506"/>
      <c r="F147" s="506"/>
      <c r="G147" s="507"/>
      <c r="H147" s="114"/>
      <c r="I147" s="113"/>
      <c r="J147" s="749"/>
      <c r="K147" s="752"/>
      <c r="L147" s="1100"/>
      <c r="M147" s="1102"/>
      <c r="N147" s="1102"/>
      <c r="O147" s="1102"/>
      <c r="P147" s="1102"/>
      <c r="Q147" s="1088"/>
      <c r="R147" s="1088"/>
      <c r="S147" s="1088"/>
      <c r="T147" s="1088"/>
      <c r="U147" s="761" t="s">
        <v>44</v>
      </c>
      <c r="W147" s="1086"/>
      <c r="X147" s="1087"/>
    </row>
    <row r="148" spans="1:26" ht="15" customHeight="1" thickBot="1" x14ac:dyDescent="0.25">
      <c r="A148" s="116"/>
      <c r="B148" s="451"/>
      <c r="C148" s="452"/>
      <c r="D148" s="452"/>
      <c r="E148" s="452"/>
      <c r="F148" s="452"/>
      <c r="G148" s="453"/>
      <c r="H148" s="117"/>
      <c r="I148" s="118"/>
      <c r="J148" s="750"/>
      <c r="K148" s="753"/>
      <c r="L148" s="1101"/>
      <c r="M148" s="1103"/>
      <c r="N148" s="1103"/>
      <c r="O148" s="1103"/>
      <c r="P148" s="1103"/>
      <c r="Q148" s="1089"/>
      <c r="R148" s="1089"/>
      <c r="S148" s="1089"/>
      <c r="T148" s="1089"/>
      <c r="U148" s="760"/>
      <c r="W148" s="1086"/>
      <c r="X148" s="1087"/>
    </row>
    <row r="149" spans="1:26" ht="15" customHeight="1" x14ac:dyDescent="0.2">
      <c r="A149" s="116"/>
      <c r="B149" s="435" t="s">
        <v>746</v>
      </c>
      <c r="C149" s="436"/>
      <c r="D149" s="436"/>
      <c r="E149" s="436"/>
      <c r="F149" s="436"/>
      <c r="G149" s="437"/>
      <c r="H149" s="110" t="s">
        <v>745</v>
      </c>
      <c r="I149" s="219" t="s">
        <v>674</v>
      </c>
      <c r="J149" s="248"/>
      <c r="K149" s="249"/>
      <c r="L149" s="906" t="s">
        <v>750</v>
      </c>
      <c r="M149" s="907"/>
      <c r="N149" s="440"/>
      <c r="O149" s="441"/>
      <c r="P149" s="440"/>
      <c r="Q149" s="441"/>
      <c r="R149" s="440"/>
      <c r="S149" s="441"/>
      <c r="T149" s="440"/>
      <c r="U149" s="442"/>
      <c r="W149" s="822" t="s">
        <v>362</v>
      </c>
      <c r="X149" s="823"/>
      <c r="Z149" s="857" t="s">
        <v>755</v>
      </c>
    </row>
    <row r="150" spans="1:26" ht="15" customHeight="1" x14ac:dyDescent="0.2">
      <c r="A150" s="116"/>
      <c r="B150" s="518"/>
      <c r="C150" s="519"/>
      <c r="D150" s="519"/>
      <c r="E150" s="519"/>
      <c r="F150" s="519"/>
      <c r="G150" s="520"/>
      <c r="H150" s="123"/>
      <c r="I150" s="124"/>
      <c r="J150" s="250"/>
      <c r="K150" s="251"/>
      <c r="L150" s="160" t="s">
        <v>358</v>
      </c>
      <c r="M150" s="161"/>
      <c r="N150" s="161"/>
      <c r="O150" s="161"/>
      <c r="P150" s="161"/>
      <c r="Q150" s="161"/>
      <c r="R150" s="161"/>
      <c r="S150" s="161"/>
      <c r="T150" s="161"/>
      <c r="U150" s="180" t="s">
        <v>25</v>
      </c>
      <c r="W150" s="824"/>
      <c r="X150" s="825"/>
      <c r="Z150" s="858"/>
    </row>
    <row r="151" spans="1:26" ht="15" customHeight="1" thickBot="1" x14ac:dyDescent="0.25">
      <c r="A151" s="116"/>
      <c r="B151" s="459"/>
      <c r="C151" s="460"/>
      <c r="D151" s="460"/>
      <c r="E151" s="460"/>
      <c r="F151" s="460"/>
      <c r="G151" s="461"/>
      <c r="H151" s="128"/>
      <c r="I151" s="129"/>
      <c r="J151" s="252"/>
      <c r="K151" s="253"/>
      <c r="L151" s="130" t="s">
        <v>21</v>
      </c>
      <c r="M151" s="214"/>
      <c r="N151" s="215"/>
      <c r="O151" s="215"/>
      <c r="P151" s="215"/>
      <c r="Q151" s="214"/>
      <c r="R151" s="215"/>
      <c r="S151" s="215"/>
      <c r="T151" s="215"/>
      <c r="U151" s="132" t="s">
        <v>125</v>
      </c>
      <c r="W151" s="826"/>
      <c r="X151" s="827"/>
      <c r="Z151" s="858"/>
    </row>
    <row r="152" spans="1:26" ht="15" customHeight="1" x14ac:dyDescent="0.2">
      <c r="A152" s="116"/>
      <c r="B152" s="435" t="s">
        <v>746</v>
      </c>
      <c r="C152" s="436"/>
      <c r="D152" s="436"/>
      <c r="E152" s="436"/>
      <c r="F152" s="436"/>
      <c r="G152" s="437"/>
      <c r="H152" s="110" t="s">
        <v>745</v>
      </c>
      <c r="I152" s="219" t="s">
        <v>674</v>
      </c>
      <c r="J152" s="248"/>
      <c r="K152" s="249"/>
      <c r="L152" s="906" t="s">
        <v>750</v>
      </c>
      <c r="M152" s="907"/>
      <c r="N152" s="440"/>
      <c r="O152" s="441"/>
      <c r="P152" s="440"/>
      <c r="Q152" s="441"/>
      <c r="R152" s="440"/>
      <c r="S152" s="441"/>
      <c r="T152" s="440"/>
      <c r="U152" s="442"/>
      <c r="W152" s="882" t="s">
        <v>752</v>
      </c>
      <c r="X152" s="883"/>
      <c r="Z152" s="858"/>
    </row>
    <row r="153" spans="1:26" ht="15" customHeight="1" x14ac:dyDescent="0.2">
      <c r="A153" s="116"/>
      <c r="B153" s="518" t="s">
        <v>754</v>
      </c>
      <c r="C153" s="519"/>
      <c r="D153" s="519"/>
      <c r="E153" s="519"/>
      <c r="F153" s="519"/>
      <c r="G153" s="520"/>
      <c r="H153" s="123"/>
      <c r="I153" s="124"/>
      <c r="J153" s="250"/>
      <c r="K153" s="251"/>
      <c r="L153" s="160" t="s">
        <v>293</v>
      </c>
      <c r="M153" s="161" t="s">
        <v>361</v>
      </c>
      <c r="N153" s="161" t="s">
        <v>299</v>
      </c>
      <c r="O153" s="161" t="s">
        <v>305</v>
      </c>
      <c r="P153" s="161" t="s">
        <v>224</v>
      </c>
      <c r="Q153" s="161"/>
      <c r="R153" s="161"/>
      <c r="S153" s="161"/>
      <c r="T153" s="161"/>
      <c r="U153" s="180" t="s">
        <v>25</v>
      </c>
      <c r="W153" s="884"/>
      <c r="X153" s="885"/>
      <c r="Z153" s="858"/>
    </row>
    <row r="154" spans="1:26" ht="15" customHeight="1" thickBot="1" x14ac:dyDescent="0.25">
      <c r="A154" s="116"/>
      <c r="B154" s="459"/>
      <c r="C154" s="460"/>
      <c r="D154" s="460"/>
      <c r="E154" s="460"/>
      <c r="F154" s="460"/>
      <c r="G154" s="461"/>
      <c r="H154" s="128"/>
      <c r="I154" s="129"/>
      <c r="J154" s="252"/>
      <c r="K154" s="253"/>
      <c r="L154" s="130" t="s">
        <v>753</v>
      </c>
      <c r="M154" s="131" t="s">
        <v>753</v>
      </c>
      <c r="N154" s="131" t="s">
        <v>753</v>
      </c>
      <c r="O154" s="131" t="s">
        <v>753</v>
      </c>
      <c r="P154" s="131" t="s">
        <v>753</v>
      </c>
      <c r="Q154" s="214"/>
      <c r="R154" s="215"/>
      <c r="S154" s="215"/>
      <c r="T154" s="215"/>
      <c r="U154" s="132" t="s">
        <v>125</v>
      </c>
      <c r="W154" s="884"/>
      <c r="X154" s="885"/>
      <c r="Z154" s="858"/>
    </row>
    <row r="155" spans="1:26" ht="15" customHeight="1" x14ac:dyDescent="0.2">
      <c r="A155" s="116"/>
      <c r="B155" s="435" t="s">
        <v>746</v>
      </c>
      <c r="C155" s="436"/>
      <c r="D155" s="436"/>
      <c r="E155" s="436"/>
      <c r="F155" s="436"/>
      <c r="G155" s="437"/>
      <c r="H155" s="110" t="s">
        <v>745</v>
      </c>
      <c r="I155" s="219" t="s">
        <v>674</v>
      </c>
      <c r="J155" s="248"/>
      <c r="K155" s="249"/>
      <c r="L155" s="906" t="s">
        <v>750</v>
      </c>
      <c r="M155" s="907"/>
      <c r="N155" s="440"/>
      <c r="O155" s="441"/>
      <c r="P155" s="440"/>
      <c r="Q155" s="441"/>
      <c r="R155" s="440"/>
      <c r="S155" s="441"/>
      <c r="T155" s="440"/>
      <c r="U155" s="442"/>
      <c r="W155" s="886" t="s">
        <v>757</v>
      </c>
      <c r="X155" s="887"/>
      <c r="Z155" s="858"/>
    </row>
    <row r="156" spans="1:26" ht="15" customHeight="1" x14ac:dyDescent="0.2">
      <c r="A156" s="116"/>
      <c r="B156" s="518" t="s">
        <v>758</v>
      </c>
      <c r="C156" s="519"/>
      <c r="D156" s="519"/>
      <c r="E156" s="519"/>
      <c r="F156" s="519"/>
      <c r="G156" s="520"/>
      <c r="H156" s="123"/>
      <c r="I156" s="124"/>
      <c r="J156" s="250"/>
      <c r="K156" s="251"/>
      <c r="L156" s="160" t="s">
        <v>293</v>
      </c>
      <c r="M156" s="161" t="s">
        <v>361</v>
      </c>
      <c r="N156" s="161" t="s">
        <v>299</v>
      </c>
      <c r="O156" s="161" t="s">
        <v>305</v>
      </c>
      <c r="P156" s="161" t="s">
        <v>224</v>
      </c>
      <c r="Q156" s="161"/>
      <c r="R156" s="161"/>
      <c r="S156" s="161"/>
      <c r="T156" s="161"/>
      <c r="U156" s="180" t="s">
        <v>25</v>
      </c>
      <c r="W156" s="888"/>
      <c r="X156" s="889"/>
      <c r="Z156" s="858"/>
    </row>
    <row r="157" spans="1:26" ht="15" customHeight="1" thickBot="1" x14ac:dyDescent="0.25">
      <c r="A157" s="116"/>
      <c r="B157" s="459"/>
      <c r="C157" s="460"/>
      <c r="D157" s="460"/>
      <c r="E157" s="460"/>
      <c r="F157" s="460"/>
      <c r="G157" s="461"/>
      <c r="H157" s="128"/>
      <c r="I157" s="129"/>
      <c r="J157" s="252"/>
      <c r="K157" s="253"/>
      <c r="L157" s="130" t="s">
        <v>760</v>
      </c>
      <c r="M157" s="131" t="s">
        <v>760</v>
      </c>
      <c r="N157" s="131" t="s">
        <v>760</v>
      </c>
      <c r="O157" s="131" t="s">
        <v>760</v>
      </c>
      <c r="P157" s="131" t="s">
        <v>760</v>
      </c>
      <c r="Q157" s="214"/>
      <c r="R157" s="215"/>
      <c r="S157" s="215"/>
      <c r="T157" s="215"/>
      <c r="U157" s="132" t="s">
        <v>125</v>
      </c>
      <c r="W157" s="888"/>
      <c r="X157" s="889"/>
      <c r="Z157" s="858"/>
    </row>
    <row r="158" spans="1:26" ht="15" customHeight="1" x14ac:dyDescent="0.2">
      <c r="A158" s="116"/>
      <c r="B158" s="435" t="s">
        <v>746</v>
      </c>
      <c r="C158" s="436"/>
      <c r="D158" s="436"/>
      <c r="E158" s="436"/>
      <c r="F158" s="436"/>
      <c r="G158" s="437"/>
      <c r="H158" s="110" t="s">
        <v>745</v>
      </c>
      <c r="I158" s="219" t="s">
        <v>674</v>
      </c>
      <c r="J158" s="248"/>
      <c r="K158" s="249"/>
      <c r="L158" s="906" t="s">
        <v>750</v>
      </c>
      <c r="M158" s="907"/>
      <c r="N158" s="440"/>
      <c r="O158" s="441"/>
      <c r="P158" s="440"/>
      <c r="Q158" s="441"/>
      <c r="R158" s="440"/>
      <c r="S158" s="441"/>
      <c r="T158" s="440"/>
      <c r="U158" s="442"/>
      <c r="W158" s="874" t="s">
        <v>759</v>
      </c>
      <c r="X158" s="875"/>
      <c r="Z158" s="858"/>
    </row>
    <row r="159" spans="1:26" ht="15" customHeight="1" x14ac:dyDescent="0.2">
      <c r="A159" s="116"/>
      <c r="B159" s="518" t="s">
        <v>673</v>
      </c>
      <c r="C159" s="519"/>
      <c r="D159" s="519"/>
      <c r="E159" s="519"/>
      <c r="F159" s="519"/>
      <c r="G159" s="520"/>
      <c r="H159" s="123"/>
      <c r="I159" s="124"/>
      <c r="J159" s="250"/>
      <c r="K159" s="251"/>
      <c r="L159" s="160" t="s">
        <v>293</v>
      </c>
      <c r="M159" s="161" t="s">
        <v>361</v>
      </c>
      <c r="N159" s="161" t="s">
        <v>299</v>
      </c>
      <c r="O159" s="161" t="s">
        <v>305</v>
      </c>
      <c r="P159" s="161" t="s">
        <v>224</v>
      </c>
      <c r="Q159" s="161"/>
      <c r="R159" s="161"/>
      <c r="S159" s="161"/>
      <c r="T159" s="161"/>
      <c r="U159" s="180" t="s">
        <v>25</v>
      </c>
      <c r="W159" s="876"/>
      <c r="X159" s="877"/>
      <c r="Z159" s="858"/>
    </row>
    <row r="160" spans="1:26" ht="15" customHeight="1" thickBot="1" x14ac:dyDescent="0.25">
      <c r="A160" s="116"/>
      <c r="B160" s="459"/>
      <c r="C160" s="460"/>
      <c r="D160" s="460"/>
      <c r="E160" s="460"/>
      <c r="F160" s="460"/>
      <c r="G160" s="461"/>
      <c r="H160" s="128"/>
      <c r="I160" s="129"/>
      <c r="J160" s="252"/>
      <c r="K160" s="253"/>
      <c r="L160" s="130" t="s">
        <v>760</v>
      </c>
      <c r="M160" s="131" t="s">
        <v>760</v>
      </c>
      <c r="N160" s="131" t="s">
        <v>760</v>
      </c>
      <c r="O160" s="131" t="s">
        <v>760</v>
      </c>
      <c r="P160" s="131" t="s">
        <v>760</v>
      </c>
      <c r="Q160" s="214"/>
      <c r="R160" s="215"/>
      <c r="S160" s="215"/>
      <c r="T160" s="215"/>
      <c r="U160" s="132" t="s">
        <v>125</v>
      </c>
      <c r="W160" s="876"/>
      <c r="X160" s="877"/>
      <c r="Z160" s="858"/>
    </row>
    <row r="161" spans="1:26" ht="15" customHeight="1" x14ac:dyDescent="0.2">
      <c r="A161" s="116"/>
      <c r="B161" s="435" t="s">
        <v>746</v>
      </c>
      <c r="C161" s="436"/>
      <c r="D161" s="436"/>
      <c r="E161" s="436"/>
      <c r="F161" s="436"/>
      <c r="G161" s="437"/>
      <c r="H161" s="110" t="s">
        <v>745</v>
      </c>
      <c r="I161" s="219" t="s">
        <v>674</v>
      </c>
      <c r="J161" s="248"/>
      <c r="K161" s="249"/>
      <c r="L161" s="906" t="s">
        <v>750</v>
      </c>
      <c r="M161" s="907"/>
      <c r="N161" s="440"/>
      <c r="O161" s="441"/>
      <c r="P161" s="440"/>
      <c r="Q161" s="441"/>
      <c r="R161" s="440"/>
      <c r="S161" s="441"/>
      <c r="T161" s="440"/>
      <c r="U161" s="442"/>
      <c r="W161" s="890" t="s">
        <v>1239</v>
      </c>
      <c r="X161" s="891"/>
      <c r="Z161" s="858"/>
    </row>
    <row r="162" spans="1:26" ht="15" customHeight="1" x14ac:dyDescent="0.2">
      <c r="A162" s="116"/>
      <c r="B162" s="518" t="s">
        <v>673</v>
      </c>
      <c r="C162" s="519"/>
      <c r="D162" s="519"/>
      <c r="E162" s="519"/>
      <c r="F162" s="519"/>
      <c r="G162" s="520"/>
      <c r="H162" s="123"/>
      <c r="I162" s="124"/>
      <c r="J162" s="250"/>
      <c r="K162" s="251"/>
      <c r="L162" s="160" t="s">
        <v>293</v>
      </c>
      <c r="M162" s="161" t="s">
        <v>361</v>
      </c>
      <c r="N162" s="161" t="s">
        <v>299</v>
      </c>
      <c r="O162" s="161" t="s">
        <v>305</v>
      </c>
      <c r="P162" s="161" t="s">
        <v>224</v>
      </c>
      <c r="Q162" s="161"/>
      <c r="R162" s="161"/>
      <c r="S162" s="161"/>
      <c r="T162" s="161"/>
      <c r="U162" s="180" t="s">
        <v>25</v>
      </c>
      <c r="W162" s="892"/>
      <c r="X162" s="893"/>
      <c r="Z162" s="858"/>
    </row>
    <row r="163" spans="1:26" ht="15" customHeight="1" thickBot="1" x14ac:dyDescent="0.25">
      <c r="A163" s="116"/>
      <c r="B163" s="459"/>
      <c r="C163" s="460"/>
      <c r="D163" s="460"/>
      <c r="E163" s="460"/>
      <c r="F163" s="460"/>
      <c r="G163" s="461"/>
      <c r="H163" s="128"/>
      <c r="I163" s="129"/>
      <c r="J163" s="252"/>
      <c r="K163" s="253"/>
      <c r="L163" s="130" t="s">
        <v>761</v>
      </c>
      <c r="M163" s="131" t="s">
        <v>761</v>
      </c>
      <c r="N163" s="131" t="s">
        <v>761</v>
      </c>
      <c r="O163" s="131" t="s">
        <v>762</v>
      </c>
      <c r="P163" s="131" t="s">
        <v>762</v>
      </c>
      <c r="Q163" s="214"/>
      <c r="R163" s="215"/>
      <c r="S163" s="215"/>
      <c r="T163" s="215"/>
      <c r="U163" s="132" t="s">
        <v>125</v>
      </c>
      <c r="W163" s="892"/>
      <c r="X163" s="893"/>
      <c r="Z163" s="858"/>
    </row>
    <row r="164" spans="1:26" ht="15" customHeight="1" x14ac:dyDescent="0.2">
      <c r="A164" s="116"/>
      <c r="B164" s="435" t="s">
        <v>746</v>
      </c>
      <c r="C164" s="436"/>
      <c r="D164" s="436"/>
      <c r="E164" s="436"/>
      <c r="F164" s="436"/>
      <c r="G164" s="437"/>
      <c r="H164" s="110" t="s">
        <v>745</v>
      </c>
      <c r="I164" s="219" t="s">
        <v>674</v>
      </c>
      <c r="J164" s="248"/>
      <c r="K164" s="249"/>
      <c r="L164" s="906" t="s">
        <v>750</v>
      </c>
      <c r="M164" s="907"/>
      <c r="N164" s="440"/>
      <c r="O164" s="441"/>
      <c r="P164" s="440"/>
      <c r="Q164" s="441"/>
      <c r="R164" s="440"/>
      <c r="S164" s="441"/>
      <c r="T164" s="440"/>
      <c r="U164" s="442"/>
      <c r="W164" s="1115" t="s">
        <v>1240</v>
      </c>
      <c r="X164" s="1116"/>
      <c r="Z164" s="858"/>
    </row>
    <row r="165" spans="1:26" ht="15" customHeight="1" x14ac:dyDescent="0.2">
      <c r="A165" s="116"/>
      <c r="B165" s="518" t="s">
        <v>765</v>
      </c>
      <c r="C165" s="519"/>
      <c r="D165" s="519"/>
      <c r="E165" s="519"/>
      <c r="F165" s="519"/>
      <c r="G165" s="520"/>
      <c r="H165" s="123"/>
      <c r="I165" s="124"/>
      <c r="J165" s="250"/>
      <c r="K165" s="251"/>
      <c r="L165" s="160" t="s">
        <v>293</v>
      </c>
      <c r="M165" s="161" t="s">
        <v>361</v>
      </c>
      <c r="N165" s="161" t="s">
        <v>299</v>
      </c>
      <c r="O165" s="161" t="s">
        <v>305</v>
      </c>
      <c r="P165" s="161" t="s">
        <v>224</v>
      </c>
      <c r="Q165" s="161"/>
      <c r="R165" s="161"/>
      <c r="S165" s="161"/>
      <c r="T165" s="161"/>
      <c r="U165" s="180" t="s">
        <v>25</v>
      </c>
      <c r="W165" s="1117"/>
      <c r="X165" s="1118"/>
      <c r="Z165" s="858"/>
    </row>
    <row r="166" spans="1:26" ht="15" customHeight="1" thickBot="1" x14ac:dyDescent="0.25">
      <c r="A166" s="116"/>
      <c r="B166" s="459"/>
      <c r="C166" s="460"/>
      <c r="D166" s="460"/>
      <c r="E166" s="460"/>
      <c r="F166" s="460"/>
      <c r="G166" s="461"/>
      <c r="H166" s="128"/>
      <c r="I166" s="129"/>
      <c r="J166" s="252"/>
      <c r="K166" s="253"/>
      <c r="L166" s="130" t="s">
        <v>776</v>
      </c>
      <c r="M166" s="131" t="s">
        <v>776</v>
      </c>
      <c r="N166" s="131" t="s">
        <v>776</v>
      </c>
      <c r="O166" s="131" t="s">
        <v>761</v>
      </c>
      <c r="P166" s="131" t="s">
        <v>761</v>
      </c>
      <c r="Q166" s="214"/>
      <c r="R166" s="215"/>
      <c r="S166" s="215"/>
      <c r="T166" s="215"/>
      <c r="U166" s="132" t="s">
        <v>125</v>
      </c>
      <c r="W166" s="1117"/>
      <c r="X166" s="1118"/>
      <c r="Z166" s="858"/>
    </row>
    <row r="167" spans="1:26" ht="15" customHeight="1" x14ac:dyDescent="0.2">
      <c r="A167" s="116"/>
      <c r="B167" s="435" t="s">
        <v>746</v>
      </c>
      <c r="C167" s="436"/>
      <c r="D167" s="436"/>
      <c r="E167" s="436"/>
      <c r="F167" s="436"/>
      <c r="G167" s="437"/>
      <c r="H167" s="110" t="s">
        <v>745</v>
      </c>
      <c r="I167" s="219" t="s">
        <v>674</v>
      </c>
      <c r="J167" s="248"/>
      <c r="K167" s="249"/>
      <c r="L167" s="906" t="s">
        <v>750</v>
      </c>
      <c r="M167" s="907"/>
      <c r="N167" s="440"/>
      <c r="O167" s="441"/>
      <c r="P167" s="440"/>
      <c r="Q167" s="441"/>
      <c r="R167" s="440"/>
      <c r="S167" s="441"/>
      <c r="T167" s="440"/>
      <c r="U167" s="442"/>
      <c r="W167" s="894" t="s">
        <v>1241</v>
      </c>
      <c r="X167" s="895"/>
      <c r="Z167" s="858"/>
    </row>
    <row r="168" spans="1:26" ht="15" customHeight="1" x14ac:dyDescent="0.2">
      <c r="A168" s="116"/>
      <c r="B168" s="518" t="s">
        <v>765</v>
      </c>
      <c r="C168" s="519"/>
      <c r="D168" s="519"/>
      <c r="E168" s="519"/>
      <c r="F168" s="519"/>
      <c r="G168" s="520"/>
      <c r="H168" s="123"/>
      <c r="I168" s="124"/>
      <c r="J168" s="250"/>
      <c r="K168" s="251"/>
      <c r="L168" s="160" t="s">
        <v>293</v>
      </c>
      <c r="M168" s="161" t="s">
        <v>361</v>
      </c>
      <c r="N168" s="161" t="s">
        <v>299</v>
      </c>
      <c r="O168" s="161" t="s">
        <v>305</v>
      </c>
      <c r="P168" s="161" t="s">
        <v>224</v>
      </c>
      <c r="Q168" s="161"/>
      <c r="R168" s="161"/>
      <c r="S168" s="161"/>
      <c r="T168" s="161"/>
      <c r="U168" s="180" t="s">
        <v>25</v>
      </c>
      <c r="W168" s="896"/>
      <c r="X168" s="897"/>
      <c r="Z168" s="858"/>
    </row>
    <row r="169" spans="1:26" ht="15" customHeight="1" thickBot="1" x14ac:dyDescent="0.25">
      <c r="A169" s="116"/>
      <c r="B169" s="459"/>
      <c r="C169" s="460"/>
      <c r="D169" s="460"/>
      <c r="E169" s="460"/>
      <c r="F169" s="460"/>
      <c r="G169" s="461"/>
      <c r="H169" s="128"/>
      <c r="I169" s="129"/>
      <c r="J169" s="252"/>
      <c r="K169" s="253"/>
      <c r="L169" s="130" t="s">
        <v>763</v>
      </c>
      <c r="M169" s="131" t="s">
        <v>763</v>
      </c>
      <c r="N169" s="131" t="s">
        <v>763</v>
      </c>
      <c r="O169" s="131" t="s">
        <v>762</v>
      </c>
      <c r="P169" s="131" t="s">
        <v>764</v>
      </c>
      <c r="Q169" s="214"/>
      <c r="R169" s="215"/>
      <c r="S169" s="215"/>
      <c r="T169" s="215"/>
      <c r="U169" s="132" t="s">
        <v>125</v>
      </c>
      <c r="W169" s="898"/>
      <c r="X169" s="899"/>
      <c r="Z169" s="858"/>
    </row>
    <row r="170" spans="1:26" ht="15" customHeight="1" x14ac:dyDescent="0.2">
      <c r="A170" s="116"/>
      <c r="B170" s="435" t="s">
        <v>746</v>
      </c>
      <c r="C170" s="436"/>
      <c r="D170" s="436"/>
      <c r="E170" s="436"/>
      <c r="F170" s="436"/>
      <c r="G170" s="437"/>
      <c r="H170" s="110" t="s">
        <v>745</v>
      </c>
      <c r="I170" s="219" t="s">
        <v>674</v>
      </c>
      <c r="J170" s="248"/>
      <c r="K170" s="249"/>
      <c r="L170" s="906" t="s">
        <v>750</v>
      </c>
      <c r="M170" s="907"/>
      <c r="N170" s="440"/>
      <c r="O170" s="441"/>
      <c r="P170" s="440"/>
      <c r="Q170" s="441"/>
      <c r="R170" s="440"/>
      <c r="S170" s="441"/>
      <c r="T170" s="440"/>
      <c r="U170" s="442"/>
      <c r="W170" s="868" t="s">
        <v>1242</v>
      </c>
      <c r="X170" s="869"/>
      <c r="Z170" s="858"/>
    </row>
    <row r="171" spans="1:26" ht="15" customHeight="1" x14ac:dyDescent="0.2">
      <c r="A171" s="116"/>
      <c r="B171" s="518" t="s">
        <v>765</v>
      </c>
      <c r="C171" s="519"/>
      <c r="D171" s="519"/>
      <c r="E171" s="519"/>
      <c r="F171" s="519"/>
      <c r="G171" s="520"/>
      <c r="H171" s="123"/>
      <c r="I171" s="124"/>
      <c r="J171" s="250"/>
      <c r="K171" s="251"/>
      <c r="L171" s="160" t="s">
        <v>293</v>
      </c>
      <c r="M171" s="161" t="s">
        <v>361</v>
      </c>
      <c r="N171" s="161" t="s">
        <v>299</v>
      </c>
      <c r="O171" s="161" t="s">
        <v>305</v>
      </c>
      <c r="P171" s="161" t="s">
        <v>224</v>
      </c>
      <c r="Q171" s="161"/>
      <c r="R171" s="161"/>
      <c r="S171" s="161"/>
      <c r="T171" s="161"/>
      <c r="U171" s="180" t="s">
        <v>25</v>
      </c>
      <c r="W171" s="870"/>
      <c r="X171" s="871"/>
      <c r="Z171" s="858"/>
    </row>
    <row r="172" spans="1:26" ht="15" customHeight="1" thickBot="1" x14ac:dyDescent="0.25">
      <c r="A172" s="116"/>
      <c r="B172" s="459"/>
      <c r="C172" s="460"/>
      <c r="D172" s="460"/>
      <c r="E172" s="460"/>
      <c r="F172" s="460"/>
      <c r="G172" s="461"/>
      <c r="H172" s="128"/>
      <c r="I172" s="129"/>
      <c r="J172" s="252"/>
      <c r="K172" s="253"/>
      <c r="L172" s="130" t="s">
        <v>761</v>
      </c>
      <c r="M172" s="131" t="s">
        <v>761</v>
      </c>
      <c r="N172" s="131" t="s">
        <v>761</v>
      </c>
      <c r="O172" s="131" t="s">
        <v>763</v>
      </c>
      <c r="P172" s="131" t="s">
        <v>762</v>
      </c>
      <c r="Q172" s="214"/>
      <c r="R172" s="215"/>
      <c r="S172" s="215"/>
      <c r="T172" s="215"/>
      <c r="U172" s="132" t="s">
        <v>125</v>
      </c>
      <c r="W172" s="872"/>
      <c r="X172" s="873"/>
      <c r="Z172" s="858"/>
    </row>
    <row r="173" spans="1:26" ht="15" customHeight="1" x14ac:dyDescent="0.2">
      <c r="A173" s="843" t="s">
        <v>768</v>
      </c>
      <c r="B173" s="435" t="s">
        <v>746</v>
      </c>
      <c r="C173" s="436"/>
      <c r="D173" s="436"/>
      <c r="E173" s="436"/>
      <c r="F173" s="436"/>
      <c r="G173" s="437"/>
      <c r="H173" s="110" t="s">
        <v>745</v>
      </c>
      <c r="I173" s="219" t="s">
        <v>674</v>
      </c>
      <c r="J173" s="248"/>
      <c r="K173" s="249"/>
      <c r="L173" s="906" t="s">
        <v>750</v>
      </c>
      <c r="M173" s="907"/>
      <c r="N173" s="440"/>
      <c r="O173" s="441"/>
      <c r="P173" s="440"/>
      <c r="Q173" s="441"/>
      <c r="R173" s="440"/>
      <c r="S173" s="441"/>
      <c r="T173" s="440"/>
      <c r="U173" s="442"/>
      <c r="W173" s="890" t="s">
        <v>1243</v>
      </c>
      <c r="X173" s="891"/>
      <c r="Z173" s="858"/>
    </row>
    <row r="174" spans="1:26" ht="15" customHeight="1" x14ac:dyDescent="0.2">
      <c r="A174" s="844"/>
      <c r="B174" s="518" t="s">
        <v>766</v>
      </c>
      <c r="C174" s="519"/>
      <c r="D174" s="519"/>
      <c r="E174" s="519"/>
      <c r="F174" s="519"/>
      <c r="G174" s="520"/>
      <c r="H174" s="123"/>
      <c r="I174" s="124"/>
      <c r="J174" s="250"/>
      <c r="K174" s="251"/>
      <c r="L174" s="160" t="s">
        <v>293</v>
      </c>
      <c r="M174" s="161" t="s">
        <v>361</v>
      </c>
      <c r="N174" s="161" t="s">
        <v>299</v>
      </c>
      <c r="O174" s="161" t="s">
        <v>305</v>
      </c>
      <c r="P174" s="161" t="s">
        <v>224</v>
      </c>
      <c r="Q174" s="161"/>
      <c r="R174" s="161"/>
      <c r="S174" s="161"/>
      <c r="T174" s="161"/>
      <c r="U174" s="180" t="s">
        <v>25</v>
      </c>
      <c r="W174" s="892"/>
      <c r="X174" s="893"/>
      <c r="Z174" s="858"/>
    </row>
    <row r="175" spans="1:26" ht="15" customHeight="1" thickBot="1" x14ac:dyDescent="0.25">
      <c r="A175" s="844"/>
      <c r="B175" s="459"/>
      <c r="C175" s="460"/>
      <c r="D175" s="460"/>
      <c r="E175" s="460"/>
      <c r="F175" s="460"/>
      <c r="G175" s="461"/>
      <c r="H175" s="128"/>
      <c r="I175" s="129"/>
      <c r="J175" s="252"/>
      <c r="K175" s="253"/>
      <c r="L175" s="130" t="s">
        <v>767</v>
      </c>
      <c r="M175" s="131" t="s">
        <v>767</v>
      </c>
      <c r="N175" s="131" t="s">
        <v>767</v>
      </c>
      <c r="O175" s="131" t="s">
        <v>761</v>
      </c>
      <c r="P175" s="131" t="s">
        <v>761</v>
      </c>
      <c r="Q175" s="214"/>
      <c r="R175" s="215"/>
      <c r="S175" s="215"/>
      <c r="T175" s="215"/>
      <c r="U175" s="132" t="s">
        <v>125</v>
      </c>
      <c r="W175" s="892"/>
      <c r="X175" s="893"/>
      <c r="Z175" s="858"/>
    </row>
    <row r="176" spans="1:26" ht="15" customHeight="1" x14ac:dyDescent="0.2">
      <c r="A176" s="844"/>
      <c r="B176" s="435" t="s">
        <v>746</v>
      </c>
      <c r="C176" s="436"/>
      <c r="D176" s="436"/>
      <c r="E176" s="436"/>
      <c r="F176" s="436"/>
      <c r="G176" s="437"/>
      <c r="H176" s="110" t="s">
        <v>745</v>
      </c>
      <c r="I176" s="219" t="s">
        <v>674</v>
      </c>
      <c r="J176" s="248"/>
      <c r="K176" s="249"/>
      <c r="L176" s="906" t="s">
        <v>750</v>
      </c>
      <c r="M176" s="907"/>
      <c r="N176" s="440"/>
      <c r="O176" s="441"/>
      <c r="P176" s="440"/>
      <c r="Q176" s="441"/>
      <c r="R176" s="440"/>
      <c r="S176" s="441"/>
      <c r="T176" s="440"/>
      <c r="U176" s="442"/>
      <c r="W176" s="892"/>
      <c r="X176" s="893"/>
      <c r="Z176" s="858"/>
    </row>
    <row r="177" spans="1:26" ht="15" customHeight="1" x14ac:dyDescent="0.2">
      <c r="A177" s="844"/>
      <c r="B177" s="518" t="s">
        <v>673</v>
      </c>
      <c r="C177" s="519"/>
      <c r="D177" s="519"/>
      <c r="E177" s="519"/>
      <c r="F177" s="519"/>
      <c r="G177" s="520"/>
      <c r="H177" s="123"/>
      <c r="I177" s="124"/>
      <c r="J177" s="250"/>
      <c r="K177" s="251"/>
      <c r="L177" s="160" t="s">
        <v>293</v>
      </c>
      <c r="M177" s="161" t="s">
        <v>361</v>
      </c>
      <c r="N177" s="161" t="s">
        <v>299</v>
      </c>
      <c r="O177" s="161" t="s">
        <v>305</v>
      </c>
      <c r="P177" s="161" t="s">
        <v>224</v>
      </c>
      <c r="Q177" s="161"/>
      <c r="R177" s="161"/>
      <c r="S177" s="161"/>
      <c r="T177" s="161"/>
      <c r="U177" s="180" t="s">
        <v>25</v>
      </c>
      <c r="W177" s="892"/>
      <c r="X177" s="893"/>
      <c r="Z177" s="858"/>
    </row>
    <row r="178" spans="1:26" ht="15" customHeight="1" thickBot="1" x14ac:dyDescent="0.25">
      <c r="A178" s="845"/>
      <c r="B178" s="459"/>
      <c r="C178" s="460"/>
      <c r="D178" s="460"/>
      <c r="E178" s="460"/>
      <c r="F178" s="460"/>
      <c r="G178" s="461"/>
      <c r="H178" s="128"/>
      <c r="I178" s="129"/>
      <c r="J178" s="252"/>
      <c r="K178" s="253"/>
      <c r="L178" s="130" t="s">
        <v>761</v>
      </c>
      <c r="M178" s="131" t="s">
        <v>761</v>
      </c>
      <c r="N178" s="131" t="s">
        <v>761</v>
      </c>
      <c r="O178" s="131" t="s">
        <v>762</v>
      </c>
      <c r="P178" s="131" t="s">
        <v>762</v>
      </c>
      <c r="Q178" s="214"/>
      <c r="R178" s="215"/>
      <c r="S178" s="215"/>
      <c r="T178" s="215"/>
      <c r="U178" s="132" t="s">
        <v>125</v>
      </c>
      <c r="W178" s="1119"/>
      <c r="X178" s="1120"/>
      <c r="Z178" s="858"/>
    </row>
    <row r="179" spans="1:26" ht="15" customHeight="1" x14ac:dyDescent="0.2">
      <c r="A179" s="843" t="s">
        <v>768</v>
      </c>
      <c r="B179" s="435" t="s">
        <v>746</v>
      </c>
      <c r="C179" s="436"/>
      <c r="D179" s="436"/>
      <c r="E179" s="436"/>
      <c r="F179" s="436"/>
      <c r="G179" s="437"/>
      <c r="H179" s="110" t="s">
        <v>745</v>
      </c>
      <c r="I179" s="219" t="s">
        <v>674</v>
      </c>
      <c r="J179" s="248"/>
      <c r="K179" s="249"/>
      <c r="L179" s="906" t="s">
        <v>750</v>
      </c>
      <c r="M179" s="907"/>
      <c r="N179" s="440"/>
      <c r="O179" s="441"/>
      <c r="P179" s="440"/>
      <c r="Q179" s="441"/>
      <c r="R179" s="440"/>
      <c r="S179" s="441"/>
      <c r="T179" s="440"/>
      <c r="U179" s="442"/>
      <c r="W179" s="868" t="s">
        <v>1244</v>
      </c>
      <c r="X179" s="869"/>
      <c r="Z179" s="858"/>
    </row>
    <row r="180" spans="1:26" ht="15" customHeight="1" x14ac:dyDescent="0.2">
      <c r="A180" s="844"/>
      <c r="B180" s="518" t="s">
        <v>766</v>
      </c>
      <c r="C180" s="519"/>
      <c r="D180" s="519"/>
      <c r="E180" s="519"/>
      <c r="F180" s="519"/>
      <c r="G180" s="520"/>
      <c r="H180" s="123"/>
      <c r="I180" s="124"/>
      <c r="J180" s="250"/>
      <c r="K180" s="251"/>
      <c r="L180" s="160" t="s">
        <v>293</v>
      </c>
      <c r="M180" s="161" t="s">
        <v>361</v>
      </c>
      <c r="N180" s="161" t="s">
        <v>299</v>
      </c>
      <c r="O180" s="161" t="s">
        <v>305</v>
      </c>
      <c r="P180" s="161" t="s">
        <v>224</v>
      </c>
      <c r="Q180" s="161"/>
      <c r="R180" s="161"/>
      <c r="S180" s="161"/>
      <c r="T180" s="161"/>
      <c r="U180" s="180" t="s">
        <v>25</v>
      </c>
      <c r="W180" s="870"/>
      <c r="X180" s="871"/>
      <c r="Z180" s="858"/>
    </row>
    <row r="181" spans="1:26" ht="15" customHeight="1" thickBot="1" x14ac:dyDescent="0.25">
      <c r="A181" s="844"/>
      <c r="B181" s="459"/>
      <c r="C181" s="460"/>
      <c r="D181" s="460"/>
      <c r="E181" s="460"/>
      <c r="F181" s="460"/>
      <c r="G181" s="461"/>
      <c r="H181" s="128"/>
      <c r="I181" s="129"/>
      <c r="J181" s="252"/>
      <c r="K181" s="253"/>
      <c r="L181" s="130" t="s">
        <v>767</v>
      </c>
      <c r="M181" s="131" t="s">
        <v>767</v>
      </c>
      <c r="N181" s="131" t="s">
        <v>767</v>
      </c>
      <c r="O181" s="131" t="s">
        <v>761</v>
      </c>
      <c r="P181" s="131" t="s">
        <v>761</v>
      </c>
      <c r="Q181" s="214"/>
      <c r="R181" s="215"/>
      <c r="S181" s="215"/>
      <c r="T181" s="215"/>
      <c r="U181" s="132" t="s">
        <v>125</v>
      </c>
      <c r="W181" s="870"/>
      <c r="X181" s="871"/>
      <c r="Z181" s="858"/>
    </row>
    <row r="182" spans="1:26" ht="15" customHeight="1" x14ac:dyDescent="0.2">
      <c r="A182" s="844"/>
      <c r="B182" s="435" t="s">
        <v>746</v>
      </c>
      <c r="C182" s="436"/>
      <c r="D182" s="436"/>
      <c r="E182" s="436"/>
      <c r="F182" s="436"/>
      <c r="G182" s="437"/>
      <c r="H182" s="110" t="s">
        <v>745</v>
      </c>
      <c r="I182" s="219" t="s">
        <v>674</v>
      </c>
      <c r="J182" s="248"/>
      <c r="K182" s="249"/>
      <c r="L182" s="906" t="s">
        <v>750</v>
      </c>
      <c r="M182" s="907"/>
      <c r="N182" s="440"/>
      <c r="O182" s="441"/>
      <c r="P182" s="440"/>
      <c r="Q182" s="441"/>
      <c r="R182" s="440"/>
      <c r="S182" s="441"/>
      <c r="T182" s="440"/>
      <c r="U182" s="442"/>
      <c r="W182" s="870"/>
      <c r="X182" s="871"/>
      <c r="Z182" s="858"/>
    </row>
    <row r="183" spans="1:26" ht="15" customHeight="1" x14ac:dyDescent="0.2">
      <c r="A183" s="844"/>
      <c r="B183" s="518" t="s">
        <v>673</v>
      </c>
      <c r="C183" s="519"/>
      <c r="D183" s="519"/>
      <c r="E183" s="519"/>
      <c r="F183" s="519"/>
      <c r="G183" s="520"/>
      <c r="H183" s="123"/>
      <c r="I183" s="124"/>
      <c r="J183" s="250"/>
      <c r="K183" s="251"/>
      <c r="L183" s="160" t="s">
        <v>293</v>
      </c>
      <c r="M183" s="161" t="s">
        <v>361</v>
      </c>
      <c r="N183" s="161" t="s">
        <v>299</v>
      </c>
      <c r="O183" s="161" t="s">
        <v>305</v>
      </c>
      <c r="P183" s="161" t="s">
        <v>224</v>
      </c>
      <c r="Q183" s="161"/>
      <c r="R183" s="161"/>
      <c r="S183" s="161"/>
      <c r="T183" s="161"/>
      <c r="U183" s="180" t="s">
        <v>25</v>
      </c>
      <c r="W183" s="870"/>
      <c r="X183" s="871"/>
      <c r="Z183" s="858"/>
    </row>
    <row r="184" spans="1:26" ht="15" customHeight="1" thickBot="1" x14ac:dyDescent="0.25">
      <c r="A184" s="845"/>
      <c r="B184" s="459"/>
      <c r="C184" s="460"/>
      <c r="D184" s="460"/>
      <c r="E184" s="460"/>
      <c r="F184" s="460"/>
      <c r="G184" s="461"/>
      <c r="H184" s="128"/>
      <c r="I184" s="129"/>
      <c r="J184" s="252"/>
      <c r="K184" s="253"/>
      <c r="L184" s="130" t="s">
        <v>776</v>
      </c>
      <c r="M184" s="131" t="s">
        <v>776</v>
      </c>
      <c r="N184" s="131" t="s">
        <v>776</v>
      </c>
      <c r="O184" s="131" t="s">
        <v>761</v>
      </c>
      <c r="P184" s="131" t="s">
        <v>761</v>
      </c>
      <c r="Q184" s="214"/>
      <c r="R184" s="215"/>
      <c r="S184" s="215"/>
      <c r="T184" s="215"/>
      <c r="U184" s="132" t="s">
        <v>125</v>
      </c>
      <c r="W184" s="872"/>
      <c r="X184" s="873"/>
      <c r="Z184" s="858"/>
    </row>
    <row r="185" spans="1:26" ht="15" customHeight="1" x14ac:dyDescent="0.2">
      <c r="A185" s="843" t="s">
        <v>768</v>
      </c>
      <c r="B185" s="435" t="s">
        <v>746</v>
      </c>
      <c r="C185" s="436"/>
      <c r="D185" s="436"/>
      <c r="E185" s="436"/>
      <c r="F185" s="436"/>
      <c r="G185" s="437"/>
      <c r="H185" s="110" t="s">
        <v>745</v>
      </c>
      <c r="I185" s="219" t="s">
        <v>674</v>
      </c>
      <c r="J185" s="248"/>
      <c r="K185" s="249"/>
      <c r="L185" s="906" t="s">
        <v>750</v>
      </c>
      <c r="M185" s="907"/>
      <c r="N185" s="440"/>
      <c r="O185" s="441"/>
      <c r="P185" s="440"/>
      <c r="Q185" s="441"/>
      <c r="R185" s="440"/>
      <c r="S185" s="441"/>
      <c r="T185" s="440"/>
      <c r="U185" s="442"/>
      <c r="W185" s="874" t="s">
        <v>770</v>
      </c>
      <c r="X185" s="875"/>
      <c r="Z185" s="858"/>
    </row>
    <row r="186" spans="1:26" ht="15" customHeight="1" x14ac:dyDescent="0.2">
      <c r="A186" s="844"/>
      <c r="B186" s="518" t="s">
        <v>771</v>
      </c>
      <c r="C186" s="519"/>
      <c r="D186" s="519"/>
      <c r="E186" s="519"/>
      <c r="F186" s="519"/>
      <c r="G186" s="520"/>
      <c r="H186" s="123"/>
      <c r="I186" s="124"/>
      <c r="J186" s="250"/>
      <c r="K186" s="251"/>
      <c r="L186" s="160" t="s">
        <v>293</v>
      </c>
      <c r="M186" s="161" t="s">
        <v>361</v>
      </c>
      <c r="N186" s="161" t="s">
        <v>299</v>
      </c>
      <c r="O186" s="161" t="s">
        <v>305</v>
      </c>
      <c r="P186" s="161" t="s">
        <v>224</v>
      </c>
      <c r="Q186" s="161"/>
      <c r="R186" s="161"/>
      <c r="S186" s="161"/>
      <c r="T186" s="161"/>
      <c r="U186" s="180" t="s">
        <v>25</v>
      </c>
      <c r="W186" s="876"/>
      <c r="X186" s="877"/>
      <c r="Z186" s="858"/>
    </row>
    <row r="187" spans="1:26" ht="15" customHeight="1" thickBot="1" x14ac:dyDescent="0.25">
      <c r="A187" s="844"/>
      <c r="B187" s="459"/>
      <c r="C187" s="460"/>
      <c r="D187" s="460"/>
      <c r="E187" s="460"/>
      <c r="F187" s="460"/>
      <c r="G187" s="461"/>
      <c r="H187" s="128"/>
      <c r="I187" s="129"/>
      <c r="J187" s="252"/>
      <c r="K187" s="253"/>
      <c r="L187" s="130" t="s">
        <v>21</v>
      </c>
      <c r="M187" s="131" t="s">
        <v>21</v>
      </c>
      <c r="N187" s="131" t="s">
        <v>21</v>
      </c>
      <c r="O187" s="131" t="s">
        <v>21</v>
      </c>
      <c r="P187" s="131" t="s">
        <v>21</v>
      </c>
      <c r="Q187" s="214"/>
      <c r="R187" s="215"/>
      <c r="S187" s="215"/>
      <c r="T187" s="215"/>
      <c r="U187" s="132" t="s">
        <v>125</v>
      </c>
      <c r="W187" s="876"/>
      <c r="X187" s="877"/>
      <c r="Z187" s="858"/>
    </row>
    <row r="188" spans="1:26" ht="15" customHeight="1" x14ac:dyDescent="0.2">
      <c r="A188" s="844"/>
      <c r="B188" s="435" t="s">
        <v>773</v>
      </c>
      <c r="C188" s="436"/>
      <c r="D188" s="436"/>
      <c r="E188" s="436"/>
      <c r="F188" s="436"/>
      <c r="G188" s="437"/>
      <c r="H188" s="110" t="s">
        <v>745</v>
      </c>
      <c r="I188" s="219" t="s">
        <v>774</v>
      </c>
      <c r="J188" s="248"/>
      <c r="K188" s="249"/>
      <c r="L188" s="880" t="s">
        <v>775</v>
      </c>
      <c r="M188" s="881"/>
      <c r="N188" s="440"/>
      <c r="O188" s="441"/>
      <c r="P188" s="440"/>
      <c r="Q188" s="441"/>
      <c r="R188" s="440"/>
      <c r="S188" s="441"/>
      <c r="T188" s="440"/>
      <c r="U188" s="442"/>
      <c r="W188" s="876"/>
      <c r="X188" s="877"/>
      <c r="Z188" s="858"/>
    </row>
    <row r="189" spans="1:26" ht="15" customHeight="1" x14ac:dyDescent="0.2">
      <c r="A189" s="844"/>
      <c r="B189" s="518" t="s">
        <v>772</v>
      </c>
      <c r="C189" s="519"/>
      <c r="D189" s="519"/>
      <c r="E189" s="519"/>
      <c r="F189" s="519"/>
      <c r="G189" s="520"/>
      <c r="H189" s="123"/>
      <c r="I189" s="124"/>
      <c r="J189" s="250"/>
      <c r="K189" s="251"/>
      <c r="L189" s="160" t="s">
        <v>293</v>
      </c>
      <c r="M189" s="161" t="s">
        <v>361</v>
      </c>
      <c r="N189" s="161" t="s">
        <v>299</v>
      </c>
      <c r="O189" s="161" t="s">
        <v>305</v>
      </c>
      <c r="P189" s="161" t="s">
        <v>224</v>
      </c>
      <c r="Q189" s="161"/>
      <c r="R189" s="161"/>
      <c r="S189" s="161"/>
      <c r="T189" s="161"/>
      <c r="U189" s="180" t="s">
        <v>25</v>
      </c>
      <c r="W189" s="876"/>
      <c r="X189" s="877"/>
      <c r="Z189" s="858"/>
    </row>
    <row r="190" spans="1:26" ht="15" customHeight="1" thickBot="1" x14ac:dyDescent="0.25">
      <c r="A190" s="845"/>
      <c r="B190" s="459"/>
      <c r="C190" s="460"/>
      <c r="D190" s="460"/>
      <c r="E190" s="460"/>
      <c r="F190" s="460"/>
      <c r="G190" s="461"/>
      <c r="H190" s="128"/>
      <c r="I190" s="129"/>
      <c r="J190" s="252"/>
      <c r="K190" s="253"/>
      <c r="L190" s="130" t="s">
        <v>21</v>
      </c>
      <c r="M190" s="131" t="s">
        <v>21</v>
      </c>
      <c r="N190" s="131" t="s">
        <v>21</v>
      </c>
      <c r="O190" s="131" t="s">
        <v>21</v>
      </c>
      <c r="P190" s="131" t="s">
        <v>21</v>
      </c>
      <c r="Q190" s="214"/>
      <c r="R190" s="215"/>
      <c r="S190" s="215"/>
      <c r="T190" s="215"/>
      <c r="U190" s="132" t="s">
        <v>125</v>
      </c>
      <c r="W190" s="878"/>
      <c r="X190" s="879"/>
      <c r="Z190" s="858"/>
    </row>
    <row r="191" spans="1:26" ht="15" customHeight="1" x14ac:dyDescent="0.2">
      <c r="A191" s="116"/>
      <c r="B191" s="435" t="s">
        <v>773</v>
      </c>
      <c r="C191" s="436"/>
      <c r="D191" s="436"/>
      <c r="E191" s="436"/>
      <c r="F191" s="436"/>
      <c r="G191" s="437"/>
      <c r="H191" s="110" t="s">
        <v>745</v>
      </c>
      <c r="I191" s="219" t="s">
        <v>774</v>
      </c>
      <c r="J191" s="248"/>
      <c r="K191" s="249"/>
      <c r="L191" s="880" t="s">
        <v>775</v>
      </c>
      <c r="M191" s="881"/>
      <c r="N191" s="440"/>
      <c r="O191" s="441"/>
      <c r="P191" s="440"/>
      <c r="Q191" s="441"/>
      <c r="R191" s="440"/>
      <c r="S191" s="441"/>
      <c r="T191" s="440"/>
      <c r="U191" s="442"/>
      <c r="W191" s="846" t="s">
        <v>769</v>
      </c>
      <c r="X191" s="847"/>
      <c r="Z191" s="858"/>
    </row>
    <row r="192" spans="1:26" ht="15" customHeight="1" x14ac:dyDescent="0.2">
      <c r="A192" s="116"/>
      <c r="B192" s="518" t="s">
        <v>777</v>
      </c>
      <c r="C192" s="519"/>
      <c r="D192" s="519"/>
      <c r="E192" s="519"/>
      <c r="F192" s="519"/>
      <c r="G192" s="520"/>
      <c r="H192" s="123"/>
      <c r="I192" s="124"/>
      <c r="J192" s="250"/>
      <c r="K192" s="251"/>
      <c r="L192" s="160" t="s">
        <v>293</v>
      </c>
      <c r="M192" s="161" t="s">
        <v>361</v>
      </c>
      <c r="N192" s="161" t="s">
        <v>299</v>
      </c>
      <c r="O192" s="161" t="s">
        <v>305</v>
      </c>
      <c r="P192" s="161" t="s">
        <v>224</v>
      </c>
      <c r="Q192" s="161"/>
      <c r="R192" s="161"/>
      <c r="S192" s="161"/>
      <c r="T192" s="161"/>
      <c r="U192" s="180" t="s">
        <v>25</v>
      </c>
      <c r="W192" s="848"/>
      <c r="X192" s="849"/>
      <c r="Z192" s="858"/>
    </row>
    <row r="193" spans="1:26" ht="15" customHeight="1" thickBot="1" x14ac:dyDescent="0.25">
      <c r="A193" s="116"/>
      <c r="B193" s="580"/>
      <c r="C193" s="581"/>
      <c r="D193" s="581"/>
      <c r="E193" s="581"/>
      <c r="F193" s="581"/>
      <c r="G193" s="582"/>
      <c r="H193" s="181"/>
      <c r="I193" s="182"/>
      <c r="J193" s="254"/>
      <c r="K193" s="253"/>
      <c r="L193" s="130" t="s">
        <v>776</v>
      </c>
      <c r="M193" s="131" t="s">
        <v>776</v>
      </c>
      <c r="N193" s="131" t="s">
        <v>776</v>
      </c>
      <c r="O193" s="131" t="s">
        <v>767</v>
      </c>
      <c r="P193" s="131" t="s">
        <v>767</v>
      </c>
      <c r="Q193" s="214"/>
      <c r="R193" s="215"/>
      <c r="S193" s="215"/>
      <c r="T193" s="215"/>
      <c r="U193" s="132" t="s">
        <v>125</v>
      </c>
      <c r="W193" s="850"/>
      <c r="X193" s="851"/>
      <c r="Z193" s="858"/>
    </row>
    <row r="194" spans="1:26" ht="15" customHeight="1" x14ac:dyDescent="0.2">
      <c r="A194" s="116"/>
      <c r="B194" s="1112" t="s">
        <v>748</v>
      </c>
      <c r="C194" s="1113"/>
      <c r="D194" s="1113"/>
      <c r="E194" s="1113"/>
      <c r="F194" s="1113"/>
      <c r="G194" s="1114"/>
      <c r="H194" s="225" t="s">
        <v>712</v>
      </c>
      <c r="I194" s="223" t="s">
        <v>42</v>
      </c>
      <c r="J194" s="250"/>
      <c r="K194" s="249"/>
      <c r="L194" s="906" t="s">
        <v>750</v>
      </c>
      <c r="M194" s="907"/>
      <c r="N194" s="440"/>
      <c r="O194" s="441"/>
      <c r="P194" s="440"/>
      <c r="Q194" s="441"/>
      <c r="R194" s="440"/>
      <c r="S194" s="441"/>
      <c r="T194" s="440"/>
      <c r="U194" s="442"/>
      <c r="W194" s="900" t="s">
        <v>747</v>
      </c>
      <c r="X194" s="901"/>
      <c r="Z194" s="858"/>
    </row>
    <row r="195" spans="1:26" ht="15" customHeight="1" x14ac:dyDescent="0.2">
      <c r="A195" s="116"/>
      <c r="B195" s="518" t="s">
        <v>139</v>
      </c>
      <c r="C195" s="519"/>
      <c r="D195" s="519"/>
      <c r="E195" s="519"/>
      <c r="F195" s="519"/>
      <c r="G195" s="520"/>
      <c r="H195" s="123"/>
      <c r="I195" s="124"/>
      <c r="J195" s="250"/>
      <c r="K195" s="251"/>
      <c r="L195" s="160" t="s">
        <v>293</v>
      </c>
      <c r="M195" s="161" t="s">
        <v>361</v>
      </c>
      <c r="N195" s="161" t="s">
        <v>299</v>
      </c>
      <c r="O195" s="161" t="s">
        <v>305</v>
      </c>
      <c r="P195" s="161" t="s">
        <v>224</v>
      </c>
      <c r="Q195" s="161"/>
      <c r="R195" s="161"/>
      <c r="S195" s="161"/>
      <c r="T195" s="161"/>
      <c r="U195" s="180" t="s">
        <v>25</v>
      </c>
      <c r="W195" s="902"/>
      <c r="X195" s="903"/>
      <c r="Z195" s="858"/>
    </row>
    <row r="196" spans="1:26" ht="15" customHeight="1" thickBot="1" x14ac:dyDescent="0.25">
      <c r="A196" s="116"/>
      <c r="B196" s="459" t="s">
        <v>138</v>
      </c>
      <c r="C196" s="460"/>
      <c r="D196" s="460"/>
      <c r="E196" s="460"/>
      <c r="F196" s="460"/>
      <c r="G196" s="461"/>
      <c r="H196" s="128"/>
      <c r="I196" s="129"/>
      <c r="J196" s="252"/>
      <c r="K196" s="253"/>
      <c r="L196" s="130"/>
      <c r="M196" s="131"/>
      <c r="N196" s="131"/>
      <c r="O196" s="131"/>
      <c r="P196" s="131"/>
      <c r="Q196" s="214"/>
      <c r="R196" s="215"/>
      <c r="S196" s="215"/>
      <c r="T196" s="215"/>
      <c r="U196" s="220" t="s">
        <v>125</v>
      </c>
      <c r="W196" s="904"/>
      <c r="X196" s="905"/>
      <c r="Z196" s="858"/>
    </row>
    <row r="197" spans="1:26" ht="15" customHeight="1" x14ac:dyDescent="0.2">
      <c r="A197" s="116"/>
      <c r="B197" s="559" t="s">
        <v>676</v>
      </c>
      <c r="C197" s="560"/>
      <c r="D197" s="560"/>
      <c r="E197" s="560"/>
      <c r="F197" s="560"/>
      <c r="G197" s="561"/>
      <c r="H197" s="185"/>
      <c r="I197" s="134" t="s">
        <v>135</v>
      </c>
      <c r="J197" s="255"/>
      <c r="K197" s="256"/>
      <c r="L197" s="198"/>
      <c r="M197" s="193"/>
      <c r="N197" s="193"/>
      <c r="O197" s="193"/>
      <c r="P197" s="193"/>
      <c r="Q197" s="193"/>
      <c r="R197" s="193"/>
      <c r="S197" s="193"/>
      <c r="T197" s="193"/>
      <c r="U197" s="221" t="s">
        <v>125</v>
      </c>
      <c r="W197" s="859" t="s">
        <v>756</v>
      </c>
      <c r="X197" s="860"/>
      <c r="Y197" s="860"/>
      <c r="Z197" s="861"/>
    </row>
    <row r="198" spans="1:26" ht="15" customHeight="1" x14ac:dyDescent="0.2">
      <c r="A198" s="116"/>
      <c r="B198" s="562" t="s">
        <v>131</v>
      </c>
      <c r="C198" s="563"/>
      <c r="D198" s="563"/>
      <c r="E198" s="563"/>
      <c r="F198" s="563"/>
      <c r="G198" s="564"/>
      <c r="H198" s="66"/>
      <c r="I198" s="135" t="s">
        <v>136</v>
      </c>
      <c r="J198" s="257"/>
      <c r="K198" s="258"/>
      <c r="L198" s="199"/>
      <c r="M198" s="186"/>
      <c r="N198" s="186"/>
      <c r="O198" s="186"/>
      <c r="P198" s="186"/>
      <c r="Q198" s="186"/>
      <c r="R198" s="186"/>
      <c r="S198" s="186"/>
      <c r="T198" s="128"/>
      <c r="U198" s="204" t="s">
        <v>125</v>
      </c>
      <c r="W198" s="862"/>
      <c r="X198" s="863"/>
      <c r="Y198" s="863"/>
      <c r="Z198" s="864"/>
    </row>
    <row r="199" spans="1:26" ht="15" customHeight="1" x14ac:dyDescent="0.2">
      <c r="A199" s="116"/>
      <c r="B199" s="562" t="s">
        <v>132</v>
      </c>
      <c r="C199" s="563"/>
      <c r="D199" s="563"/>
      <c r="E199" s="563"/>
      <c r="F199" s="563"/>
      <c r="G199" s="564"/>
      <c r="H199" s="66"/>
      <c r="I199" s="135" t="s">
        <v>137</v>
      </c>
      <c r="J199" s="257"/>
      <c r="K199" s="258"/>
      <c r="L199" s="199"/>
      <c r="M199" s="186"/>
      <c r="N199" s="186"/>
      <c r="O199" s="186"/>
      <c r="P199" s="186"/>
      <c r="Q199" s="186"/>
      <c r="R199" s="186"/>
      <c r="S199" s="186"/>
      <c r="T199" s="128"/>
      <c r="U199" s="204" t="s">
        <v>125</v>
      </c>
      <c r="W199" s="862"/>
      <c r="X199" s="863"/>
      <c r="Y199" s="863"/>
      <c r="Z199" s="864"/>
    </row>
    <row r="200" spans="1:26" ht="15" customHeight="1" x14ac:dyDescent="0.2">
      <c r="A200" s="116"/>
      <c r="B200" s="627" t="s">
        <v>133</v>
      </c>
      <c r="C200" s="628"/>
      <c r="D200" s="628"/>
      <c r="E200" s="628"/>
      <c r="F200" s="628"/>
      <c r="G200" s="629"/>
      <c r="H200" s="136"/>
      <c r="I200" s="137" t="s">
        <v>135</v>
      </c>
      <c r="J200" s="257"/>
      <c r="K200" s="258"/>
      <c r="L200" s="199"/>
      <c r="M200" s="186"/>
      <c r="N200" s="186"/>
      <c r="O200" s="186"/>
      <c r="P200" s="186"/>
      <c r="Q200" s="186"/>
      <c r="R200" s="186"/>
      <c r="S200" s="186"/>
      <c r="T200" s="128"/>
      <c r="U200" s="204" t="s">
        <v>125</v>
      </c>
      <c r="W200" s="862"/>
      <c r="X200" s="863"/>
      <c r="Y200" s="863"/>
      <c r="Z200" s="864"/>
    </row>
    <row r="201" spans="1:26" ht="15" customHeight="1" thickBot="1" x14ac:dyDescent="0.25">
      <c r="A201" s="116"/>
      <c r="B201" s="1104" t="s">
        <v>134</v>
      </c>
      <c r="C201" s="1105"/>
      <c r="D201" s="1105"/>
      <c r="E201" s="1105"/>
      <c r="F201" s="1105"/>
      <c r="G201" s="1106"/>
      <c r="H201" s="60"/>
      <c r="I201" s="78" t="s">
        <v>136</v>
      </c>
      <c r="J201" s="250"/>
      <c r="K201" s="259"/>
      <c r="L201" s="200"/>
      <c r="M201" s="196"/>
      <c r="N201" s="196"/>
      <c r="O201" s="196"/>
      <c r="P201" s="196"/>
      <c r="Q201" s="196"/>
      <c r="R201" s="196"/>
      <c r="S201" s="196"/>
      <c r="T201" s="123"/>
      <c r="U201" s="205" t="s">
        <v>125</v>
      </c>
      <c r="W201" s="865"/>
      <c r="X201" s="866"/>
      <c r="Y201" s="866"/>
      <c r="Z201" s="867"/>
    </row>
    <row r="202" spans="1:26" x14ac:dyDescent="0.2">
      <c r="B202" s="462" t="s">
        <v>700</v>
      </c>
      <c r="C202" s="463"/>
      <c r="D202" s="463"/>
      <c r="E202" s="463"/>
      <c r="F202" s="463"/>
      <c r="G202" s="464"/>
      <c r="H202" s="139"/>
      <c r="I202" s="140" t="s">
        <v>701</v>
      </c>
      <c r="J202" s="246" t="s">
        <v>21</v>
      </c>
      <c r="K202" s="260"/>
      <c r="L202" s="674"/>
      <c r="M202" s="675"/>
      <c r="N202" s="675"/>
      <c r="O202" s="675"/>
      <c r="P202" s="675"/>
      <c r="Q202" s="675"/>
      <c r="R202" s="675"/>
      <c r="S202" s="675"/>
      <c r="T202" s="675"/>
      <c r="U202" s="676"/>
    </row>
    <row r="203" spans="1:26" x14ac:dyDescent="0.2">
      <c r="B203" s="1107" t="s">
        <v>702</v>
      </c>
      <c r="C203" s="1108"/>
      <c r="D203" s="1108"/>
      <c r="E203" s="1108"/>
      <c r="F203" s="1108"/>
      <c r="G203" s="1108"/>
      <c r="H203" s="197"/>
      <c r="I203" s="224" t="s">
        <v>703</v>
      </c>
      <c r="J203" s="261" t="s">
        <v>21</v>
      </c>
      <c r="K203" s="262"/>
      <c r="L203" s="1109"/>
      <c r="M203" s="1110"/>
      <c r="N203" s="1110"/>
      <c r="O203" s="1110"/>
      <c r="P203" s="1110"/>
      <c r="Q203" s="1110"/>
      <c r="R203" s="1110"/>
      <c r="S203" s="1110"/>
      <c r="T203" s="1110"/>
      <c r="U203" s="1111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</mergeCells>
  <conditionalFormatting sqref="K6 K8 K14 K16">
    <cfRule type="notContainsBlanks" dxfId="381" priority="151">
      <formula>LEN(TRIM(K6))&gt;0</formula>
    </cfRule>
  </conditionalFormatting>
  <conditionalFormatting sqref="J6 J8 J14 J16">
    <cfRule type="notContainsBlanks" dxfId="380" priority="150">
      <formula>LEN(TRIM(J6))&gt;0</formula>
    </cfRule>
  </conditionalFormatting>
  <conditionalFormatting sqref="K10">
    <cfRule type="notContainsBlanks" dxfId="379" priority="149">
      <formula>LEN(TRIM(K10))&gt;0</formula>
    </cfRule>
  </conditionalFormatting>
  <conditionalFormatting sqref="J10">
    <cfRule type="notContainsBlanks" dxfId="378" priority="148">
      <formula>LEN(TRIM(J10))&gt;0</formula>
    </cfRule>
  </conditionalFormatting>
  <conditionalFormatting sqref="K12">
    <cfRule type="notContainsBlanks" dxfId="377" priority="147">
      <formula>LEN(TRIM(K12))&gt;0</formula>
    </cfRule>
  </conditionalFormatting>
  <conditionalFormatting sqref="J12">
    <cfRule type="notContainsBlanks" dxfId="376" priority="146">
      <formula>LEN(TRIM(J12))&gt;0</formula>
    </cfRule>
  </conditionalFormatting>
  <conditionalFormatting sqref="B36:F37 H37:J37 I36:J36">
    <cfRule type="cellIs" dxfId="375" priority="145" operator="between">
      <formula>0</formula>
      <formula>0.0000000001</formula>
    </cfRule>
  </conditionalFormatting>
  <conditionalFormatting sqref="B24:F25">
    <cfRule type="cellIs" dxfId="374" priority="144" operator="between">
      <formula>0</formula>
      <formula>0.0000000001</formula>
    </cfRule>
  </conditionalFormatting>
  <conditionalFormatting sqref="B26:F26">
    <cfRule type="cellIs" dxfId="373" priority="143" operator="between">
      <formula>0</formula>
      <formula>0.0000000001</formula>
    </cfRule>
  </conditionalFormatting>
  <conditionalFormatting sqref="B28:F28">
    <cfRule type="cellIs" dxfId="372" priority="142" operator="between">
      <formula>0</formula>
      <formula>0.0000000001</formula>
    </cfRule>
  </conditionalFormatting>
  <conditionalFormatting sqref="B34:F35 H35:J35 I34:J34">
    <cfRule type="cellIs" dxfId="371" priority="141" operator="between">
      <formula>0</formula>
      <formula>0.0000000001</formula>
    </cfRule>
  </conditionalFormatting>
  <conditionalFormatting sqref="B30:F30">
    <cfRule type="cellIs" dxfId="370" priority="140" operator="between">
      <formula>0</formula>
      <formula>0.0000000001</formula>
    </cfRule>
  </conditionalFormatting>
  <conditionalFormatting sqref="B38:F38 H39:J39 I38:J38">
    <cfRule type="cellIs" dxfId="369" priority="139" operator="between">
      <formula>0</formula>
      <formula>0.0000000001</formula>
    </cfRule>
  </conditionalFormatting>
  <conditionalFormatting sqref="B40:F40 H41:J41 I40:J40">
    <cfRule type="cellIs" dxfId="368" priority="138" operator="between">
      <formula>0</formula>
      <formula>0.0000000001</formula>
    </cfRule>
  </conditionalFormatting>
  <conditionalFormatting sqref="L52">
    <cfRule type="notContainsBlanks" dxfId="367" priority="137">
      <formula>LEN(TRIM(L52))&gt;0</formula>
    </cfRule>
  </conditionalFormatting>
  <conditionalFormatting sqref="M52">
    <cfRule type="notContainsBlanks" dxfId="366" priority="136">
      <formula>LEN(TRIM(M52))&gt;0</formula>
    </cfRule>
  </conditionalFormatting>
  <conditionalFormatting sqref="N52">
    <cfRule type="notContainsBlanks" dxfId="365" priority="135">
      <formula>LEN(TRIM(N52))&gt;0</formula>
    </cfRule>
  </conditionalFormatting>
  <conditionalFormatting sqref="T56">
    <cfRule type="notContainsBlanks" dxfId="364" priority="122">
      <formula>LEN(TRIM(T56))&gt;0</formula>
    </cfRule>
  </conditionalFormatting>
  <conditionalFormatting sqref="O52:P52">
    <cfRule type="notContainsBlanks" dxfId="363" priority="134">
      <formula>LEN(TRIM(O52))&gt;0</formula>
    </cfRule>
  </conditionalFormatting>
  <conditionalFormatting sqref="Q52">
    <cfRule type="notContainsBlanks" dxfId="362" priority="133">
      <formula>LEN(TRIM(Q52))&gt;0</formula>
    </cfRule>
  </conditionalFormatting>
  <conditionalFormatting sqref="R52">
    <cfRule type="notContainsBlanks" dxfId="361" priority="132">
      <formula>LEN(TRIM(R52))&gt;0</formula>
    </cfRule>
  </conditionalFormatting>
  <conditionalFormatting sqref="S52">
    <cfRule type="notContainsBlanks" dxfId="360" priority="131">
      <formula>LEN(TRIM(S52))&gt;0</formula>
    </cfRule>
  </conditionalFormatting>
  <conditionalFormatting sqref="T52">
    <cfRule type="notContainsBlanks" dxfId="359" priority="130">
      <formula>LEN(TRIM(T52))&gt;0</formula>
    </cfRule>
  </conditionalFormatting>
  <conditionalFormatting sqref="Q56">
    <cfRule type="notContainsBlanks" dxfId="358" priority="125">
      <formula>LEN(TRIM(Q56))&gt;0</formula>
    </cfRule>
  </conditionalFormatting>
  <conditionalFormatting sqref="R56">
    <cfRule type="notContainsBlanks" dxfId="357" priority="124">
      <formula>LEN(TRIM(R56))&gt;0</formula>
    </cfRule>
  </conditionalFormatting>
  <conditionalFormatting sqref="S56">
    <cfRule type="notContainsBlanks" dxfId="356" priority="123">
      <formula>LEN(TRIM(S56))&gt;0</formula>
    </cfRule>
  </conditionalFormatting>
  <conditionalFormatting sqref="L64">
    <cfRule type="expression" dxfId="355" priority="121">
      <formula>$L$64=""</formula>
    </cfRule>
  </conditionalFormatting>
  <conditionalFormatting sqref="M64">
    <cfRule type="expression" dxfId="354" priority="119">
      <formula>$M$64=""</formula>
    </cfRule>
  </conditionalFormatting>
  <conditionalFormatting sqref="N64">
    <cfRule type="expression" dxfId="353" priority="120">
      <formula>$N$64=""</formula>
    </cfRule>
  </conditionalFormatting>
  <conditionalFormatting sqref="O64">
    <cfRule type="expression" dxfId="352" priority="118">
      <formula>$O$64=""</formula>
    </cfRule>
  </conditionalFormatting>
  <conditionalFormatting sqref="P64">
    <cfRule type="expression" dxfId="351" priority="117">
      <formula>$P$64=""</formula>
    </cfRule>
  </conditionalFormatting>
  <conditionalFormatting sqref="L68">
    <cfRule type="expression" dxfId="350" priority="112">
      <formula>$L$68=""</formula>
    </cfRule>
  </conditionalFormatting>
  <conditionalFormatting sqref="M68">
    <cfRule type="expression" dxfId="349" priority="111">
      <formula>$M$68=""</formula>
    </cfRule>
  </conditionalFormatting>
  <conditionalFormatting sqref="N68">
    <cfRule type="expression" dxfId="348" priority="110">
      <formula>$N$68=""</formula>
    </cfRule>
  </conditionalFormatting>
  <conditionalFormatting sqref="O68">
    <cfRule type="expression" dxfId="347" priority="109">
      <formula>$O$68=""</formula>
    </cfRule>
  </conditionalFormatting>
  <conditionalFormatting sqref="P68">
    <cfRule type="expression" dxfId="346" priority="108">
      <formula>$P$68=""</formula>
    </cfRule>
  </conditionalFormatting>
  <conditionalFormatting sqref="L72">
    <cfRule type="expression" dxfId="345" priority="104">
      <formula>$L$72=""</formula>
    </cfRule>
  </conditionalFormatting>
  <conditionalFormatting sqref="M72">
    <cfRule type="expression" dxfId="344" priority="103">
      <formula>$M$72=""</formula>
    </cfRule>
  </conditionalFormatting>
  <conditionalFormatting sqref="N72">
    <cfRule type="expression" dxfId="343" priority="102">
      <formula>$N$72=""</formula>
    </cfRule>
  </conditionalFormatting>
  <conditionalFormatting sqref="O72">
    <cfRule type="expression" dxfId="342" priority="101">
      <formula>$O$72=""</formula>
    </cfRule>
  </conditionalFormatting>
  <conditionalFormatting sqref="P72">
    <cfRule type="expression" dxfId="341" priority="100">
      <formula>$P$72=""</formula>
    </cfRule>
  </conditionalFormatting>
  <conditionalFormatting sqref="L76">
    <cfRule type="expression" dxfId="340" priority="95">
      <formula>$L$76=""</formula>
    </cfRule>
  </conditionalFormatting>
  <conditionalFormatting sqref="M76">
    <cfRule type="expression" dxfId="339" priority="94">
      <formula>$M$76=""</formula>
    </cfRule>
  </conditionalFormatting>
  <conditionalFormatting sqref="N76">
    <cfRule type="expression" dxfId="338" priority="93">
      <formula>$N$76=""</formula>
    </cfRule>
  </conditionalFormatting>
  <conditionalFormatting sqref="O76">
    <cfRule type="expression" dxfId="337" priority="92">
      <formula>$O$76=""</formula>
    </cfRule>
  </conditionalFormatting>
  <conditionalFormatting sqref="P76">
    <cfRule type="expression" dxfId="336" priority="91">
      <formula>$P$76=""</formula>
    </cfRule>
  </conditionalFormatting>
  <conditionalFormatting sqref="L80">
    <cfRule type="expression" dxfId="335" priority="86">
      <formula>$L$80=""</formula>
    </cfRule>
  </conditionalFormatting>
  <conditionalFormatting sqref="M80">
    <cfRule type="expression" dxfId="334" priority="85">
      <formula>$M$80=""</formula>
    </cfRule>
  </conditionalFormatting>
  <conditionalFormatting sqref="N80">
    <cfRule type="expression" dxfId="333" priority="84">
      <formula>$N$80=""</formula>
    </cfRule>
  </conditionalFormatting>
  <conditionalFormatting sqref="O80">
    <cfRule type="expression" dxfId="332" priority="83">
      <formula>$O$80=""</formula>
    </cfRule>
  </conditionalFormatting>
  <conditionalFormatting sqref="P80">
    <cfRule type="expression" dxfId="331" priority="82">
      <formula>$P$80=""</formula>
    </cfRule>
  </conditionalFormatting>
  <conditionalFormatting sqref="L84">
    <cfRule type="expression" dxfId="330" priority="77">
      <formula>$L$84=""</formula>
    </cfRule>
  </conditionalFormatting>
  <conditionalFormatting sqref="M84">
    <cfRule type="expression" dxfId="329" priority="76">
      <formula>$M$84=""</formula>
    </cfRule>
  </conditionalFormatting>
  <conditionalFormatting sqref="N84">
    <cfRule type="expression" dxfId="328" priority="75">
      <formula>$N$84=""</formula>
    </cfRule>
  </conditionalFormatting>
  <conditionalFormatting sqref="O84">
    <cfRule type="expression" dxfId="327" priority="74">
      <formula>$O$84=""</formula>
    </cfRule>
  </conditionalFormatting>
  <conditionalFormatting sqref="P84">
    <cfRule type="expression" dxfId="326" priority="73">
      <formula>$P$84=""</formula>
    </cfRule>
  </conditionalFormatting>
  <conditionalFormatting sqref="L18:M18">
    <cfRule type="expression" dxfId="325" priority="67">
      <formula>$L$18&lt;&gt;""</formula>
    </cfRule>
    <cfRule type="expression" dxfId="324" priority="68">
      <formula>$L$18=""</formula>
    </cfRule>
  </conditionalFormatting>
  <conditionalFormatting sqref="L19:M19">
    <cfRule type="expression" dxfId="323" priority="65">
      <formula>$L$19&lt;&gt;""</formula>
    </cfRule>
    <cfRule type="expression" dxfId="322" priority="66">
      <formula>$L$19=""</formula>
    </cfRule>
  </conditionalFormatting>
  <conditionalFormatting sqref="L20:M20">
    <cfRule type="expression" dxfId="321" priority="63">
      <formula>$L$20&lt;&gt;""</formula>
    </cfRule>
    <cfRule type="expression" dxfId="320" priority="64">
      <formula>$L$20=""</formula>
    </cfRule>
  </conditionalFormatting>
  <conditionalFormatting sqref="L21:M21">
    <cfRule type="expression" dxfId="319" priority="61">
      <formula>$L$21&lt;&gt;""</formula>
    </cfRule>
    <cfRule type="expression" dxfId="318" priority="62">
      <formula>$L$21=""</formula>
    </cfRule>
  </conditionalFormatting>
  <conditionalFormatting sqref="B32:F33 H33:J33 I32:J32">
    <cfRule type="cellIs" dxfId="317" priority="59" operator="between">
      <formula>0</formula>
      <formula>0.0000000001</formula>
    </cfRule>
  </conditionalFormatting>
  <conditionalFormatting sqref="T2:T3">
    <cfRule type="expression" dxfId="316" priority="55">
      <formula>$T$2=""</formula>
    </cfRule>
    <cfRule type="containsText" dxfId="315" priority="58" operator="containsText" text="#">
      <formula>NOT(ISERROR(SEARCH("#",T2)))</formula>
    </cfRule>
  </conditionalFormatting>
  <conditionalFormatting sqref="U2">
    <cfRule type="expression" dxfId="314" priority="56">
      <formula>$T$2=""</formula>
    </cfRule>
    <cfRule type="expression" dxfId="313" priority="57">
      <formula>$T$2="#"</formula>
    </cfRule>
  </conditionalFormatting>
  <conditionalFormatting sqref="L56">
    <cfRule type="notContainsBlanks" dxfId="312" priority="54">
      <formula>LEN(TRIM(L56))&gt;0</formula>
    </cfRule>
  </conditionalFormatting>
  <conditionalFormatting sqref="M56">
    <cfRule type="notContainsBlanks" dxfId="311" priority="53">
      <formula>LEN(TRIM(M56))&gt;0</formula>
    </cfRule>
  </conditionalFormatting>
  <conditionalFormatting sqref="N56">
    <cfRule type="notContainsBlanks" dxfId="310" priority="52">
      <formula>LEN(TRIM(N56))&gt;0</formula>
    </cfRule>
  </conditionalFormatting>
  <conditionalFormatting sqref="O56:P56">
    <cfRule type="notContainsBlanks" dxfId="309" priority="51">
      <formula>LEN(TRIM(O56))&gt;0</formula>
    </cfRule>
  </conditionalFormatting>
  <conditionalFormatting sqref="T64">
    <cfRule type="notContainsBlanks" dxfId="308" priority="47">
      <formula>LEN(TRIM(T64))&gt;0</formula>
    </cfRule>
  </conditionalFormatting>
  <conditionalFormatting sqref="Q64">
    <cfRule type="notContainsBlanks" dxfId="307" priority="50">
      <formula>LEN(TRIM(Q64))&gt;0</formula>
    </cfRule>
  </conditionalFormatting>
  <conditionalFormatting sqref="R64">
    <cfRule type="notContainsBlanks" dxfId="306" priority="49">
      <formula>LEN(TRIM(R64))&gt;0</formula>
    </cfRule>
  </conditionalFormatting>
  <conditionalFormatting sqref="S64">
    <cfRule type="notContainsBlanks" dxfId="305" priority="48">
      <formula>LEN(TRIM(S64))&gt;0</formula>
    </cfRule>
  </conditionalFormatting>
  <conditionalFormatting sqref="T68">
    <cfRule type="notContainsBlanks" dxfId="304" priority="43">
      <formula>LEN(TRIM(T68))&gt;0</formula>
    </cfRule>
  </conditionalFormatting>
  <conditionalFormatting sqref="Q68">
    <cfRule type="notContainsBlanks" dxfId="303" priority="46">
      <formula>LEN(TRIM(Q68))&gt;0</formula>
    </cfRule>
  </conditionalFormatting>
  <conditionalFormatting sqref="R68">
    <cfRule type="notContainsBlanks" dxfId="302" priority="45">
      <formula>LEN(TRIM(R68))&gt;0</formula>
    </cfRule>
  </conditionalFormatting>
  <conditionalFormatting sqref="S68">
    <cfRule type="notContainsBlanks" dxfId="301" priority="44">
      <formula>LEN(TRIM(S68))&gt;0</formula>
    </cfRule>
  </conditionalFormatting>
  <conditionalFormatting sqref="T72">
    <cfRule type="notContainsBlanks" dxfId="300" priority="39">
      <formula>LEN(TRIM(T72))&gt;0</formula>
    </cfRule>
  </conditionalFormatting>
  <conditionalFormatting sqref="Q72">
    <cfRule type="notContainsBlanks" dxfId="299" priority="42">
      <formula>LEN(TRIM(Q72))&gt;0</formula>
    </cfRule>
  </conditionalFormatting>
  <conditionalFormatting sqref="R72">
    <cfRule type="notContainsBlanks" dxfId="298" priority="41">
      <formula>LEN(TRIM(R72))&gt;0</formula>
    </cfRule>
  </conditionalFormatting>
  <conditionalFormatting sqref="S72">
    <cfRule type="notContainsBlanks" dxfId="297" priority="40">
      <formula>LEN(TRIM(S72))&gt;0</formula>
    </cfRule>
  </conditionalFormatting>
  <conditionalFormatting sqref="T76">
    <cfRule type="notContainsBlanks" dxfId="296" priority="35">
      <formula>LEN(TRIM(T76))&gt;0</formula>
    </cfRule>
  </conditionalFormatting>
  <conditionalFormatting sqref="Q76">
    <cfRule type="notContainsBlanks" dxfId="295" priority="38">
      <formula>LEN(TRIM(Q76))&gt;0</formula>
    </cfRule>
  </conditionalFormatting>
  <conditionalFormatting sqref="R76">
    <cfRule type="notContainsBlanks" dxfId="294" priority="37">
      <formula>LEN(TRIM(R76))&gt;0</formula>
    </cfRule>
  </conditionalFormatting>
  <conditionalFormatting sqref="S76">
    <cfRule type="notContainsBlanks" dxfId="293" priority="36">
      <formula>LEN(TRIM(S76))&gt;0</formula>
    </cfRule>
  </conditionalFormatting>
  <conditionalFormatting sqref="T80">
    <cfRule type="notContainsBlanks" dxfId="292" priority="31">
      <formula>LEN(TRIM(T80))&gt;0</formula>
    </cfRule>
  </conditionalFormatting>
  <conditionalFormatting sqref="Q80">
    <cfRule type="notContainsBlanks" dxfId="291" priority="34">
      <formula>LEN(TRIM(Q80))&gt;0</formula>
    </cfRule>
  </conditionalFormatting>
  <conditionalFormatting sqref="R80">
    <cfRule type="notContainsBlanks" dxfId="290" priority="33">
      <formula>LEN(TRIM(R80))&gt;0</formula>
    </cfRule>
  </conditionalFormatting>
  <conditionalFormatting sqref="S80">
    <cfRule type="notContainsBlanks" dxfId="289" priority="32">
      <formula>LEN(TRIM(S80))&gt;0</formula>
    </cfRule>
  </conditionalFormatting>
  <conditionalFormatting sqref="T84">
    <cfRule type="notContainsBlanks" dxfId="288" priority="27">
      <formula>LEN(TRIM(T84))&gt;0</formula>
    </cfRule>
  </conditionalFormatting>
  <conditionalFormatting sqref="Q84">
    <cfRule type="notContainsBlanks" dxfId="287" priority="30">
      <formula>LEN(TRIM(Q84))&gt;0</formula>
    </cfRule>
  </conditionalFormatting>
  <conditionalFormatting sqref="R84">
    <cfRule type="notContainsBlanks" dxfId="286" priority="29">
      <formula>LEN(TRIM(R84))&gt;0</formula>
    </cfRule>
  </conditionalFormatting>
  <conditionalFormatting sqref="S84">
    <cfRule type="notContainsBlanks" dxfId="285" priority="28">
      <formula>LEN(TRIM(S84))&gt;0</formula>
    </cfRule>
  </conditionalFormatting>
  <conditionalFormatting sqref="B42:F42 H42:J42">
    <cfRule type="cellIs" dxfId="284" priority="26" operator="between">
      <formula>0</formula>
      <formula>0.0000000001</formula>
    </cfRule>
  </conditionalFormatting>
  <conditionalFormatting sqref="B46:F46 H46:J46">
    <cfRule type="cellIs" dxfId="283" priority="25" operator="between">
      <formula>0</formula>
      <formula>0.0000000001</formula>
    </cfRule>
  </conditionalFormatting>
  <conditionalFormatting sqref="L44">
    <cfRule type="notContainsBlanks" dxfId="282" priority="24">
      <formula>LEN(TRIM(L44))&gt;0</formula>
    </cfRule>
  </conditionalFormatting>
  <conditionalFormatting sqref="M44">
    <cfRule type="notContainsBlanks" dxfId="281" priority="23">
      <formula>LEN(TRIM(M44))&gt;0</formula>
    </cfRule>
  </conditionalFormatting>
  <conditionalFormatting sqref="N44">
    <cfRule type="notContainsBlanks" dxfId="280" priority="22">
      <formula>LEN(TRIM(N44))&gt;0</formula>
    </cfRule>
  </conditionalFormatting>
  <conditionalFormatting sqref="O44:P44">
    <cfRule type="notContainsBlanks" dxfId="279" priority="21">
      <formula>LEN(TRIM(O44))&gt;0</formula>
    </cfRule>
  </conditionalFormatting>
  <conditionalFormatting sqref="Q44">
    <cfRule type="notContainsBlanks" dxfId="278" priority="20">
      <formula>LEN(TRIM(Q44))&gt;0</formula>
    </cfRule>
  </conditionalFormatting>
  <conditionalFormatting sqref="R44">
    <cfRule type="notContainsBlanks" dxfId="277" priority="19">
      <formula>LEN(TRIM(R44))&gt;0</formula>
    </cfRule>
  </conditionalFormatting>
  <conditionalFormatting sqref="S44">
    <cfRule type="notContainsBlanks" dxfId="276" priority="18">
      <formula>LEN(TRIM(S44))&gt;0</formula>
    </cfRule>
  </conditionalFormatting>
  <conditionalFormatting sqref="T44">
    <cfRule type="notContainsBlanks" dxfId="275" priority="17">
      <formula>LEN(TRIM(T44))&gt;0</formula>
    </cfRule>
  </conditionalFormatting>
  <conditionalFormatting sqref="L48">
    <cfRule type="notContainsBlanks" dxfId="274" priority="16">
      <formula>LEN(TRIM(L48))&gt;0</formula>
    </cfRule>
  </conditionalFormatting>
  <conditionalFormatting sqref="M48">
    <cfRule type="notContainsBlanks" dxfId="273" priority="15">
      <formula>LEN(TRIM(M48))&gt;0</formula>
    </cfRule>
  </conditionalFormatting>
  <conditionalFormatting sqref="N48">
    <cfRule type="notContainsBlanks" dxfId="272" priority="14">
      <formula>LEN(TRIM(N48))&gt;0</formula>
    </cfRule>
  </conditionalFormatting>
  <conditionalFormatting sqref="O48:P48">
    <cfRule type="notContainsBlanks" dxfId="271" priority="13">
      <formula>LEN(TRIM(O48))&gt;0</formula>
    </cfRule>
  </conditionalFormatting>
  <conditionalFormatting sqref="Q48">
    <cfRule type="notContainsBlanks" dxfId="270" priority="12">
      <formula>LEN(TRIM(Q48))&gt;0</formula>
    </cfRule>
  </conditionalFormatting>
  <conditionalFormatting sqref="R48">
    <cfRule type="notContainsBlanks" dxfId="269" priority="11">
      <formula>LEN(TRIM(R48))&gt;0</formula>
    </cfRule>
  </conditionalFormatting>
  <conditionalFormatting sqref="S48">
    <cfRule type="notContainsBlanks" dxfId="268" priority="10">
      <formula>LEN(TRIM(S48))&gt;0</formula>
    </cfRule>
  </conditionalFormatting>
  <conditionalFormatting sqref="T48">
    <cfRule type="notContainsBlanks" dxfId="267" priority="9">
      <formula>LEN(TRIM(T48))&gt;0</formula>
    </cfRule>
  </conditionalFormatting>
  <conditionalFormatting sqref="T60">
    <cfRule type="notContainsBlanks" dxfId="266" priority="5">
      <formula>LEN(TRIM(T60))&gt;0</formula>
    </cfRule>
  </conditionalFormatting>
  <conditionalFormatting sqref="Q60">
    <cfRule type="notContainsBlanks" dxfId="265" priority="8">
      <formula>LEN(TRIM(Q60))&gt;0</formula>
    </cfRule>
  </conditionalFormatting>
  <conditionalFormatting sqref="R60">
    <cfRule type="notContainsBlanks" dxfId="264" priority="7">
      <formula>LEN(TRIM(R60))&gt;0</formula>
    </cfRule>
  </conditionalFormatting>
  <conditionalFormatting sqref="S60">
    <cfRule type="notContainsBlanks" dxfId="263" priority="6">
      <formula>LEN(TRIM(S60))&gt;0</formula>
    </cfRule>
  </conditionalFormatting>
  <conditionalFormatting sqref="L60">
    <cfRule type="notContainsBlanks" dxfId="262" priority="4">
      <formula>LEN(TRIM(L60))&gt;0</formula>
    </cfRule>
  </conditionalFormatting>
  <conditionalFormatting sqref="M60">
    <cfRule type="notContainsBlanks" dxfId="261" priority="3">
      <formula>LEN(TRIM(M60))&gt;0</formula>
    </cfRule>
  </conditionalFormatting>
  <conditionalFormatting sqref="N60">
    <cfRule type="notContainsBlanks" dxfId="260" priority="2">
      <formula>LEN(TRIM(N60))&gt;0</formula>
    </cfRule>
  </conditionalFormatting>
  <conditionalFormatting sqref="O60:P60">
    <cfRule type="notContainsBlanks" dxfId="259" priority="1">
      <formula>LEN(TRIM(O60))&gt;0</formula>
    </cfRule>
  </conditionalFormatting>
  <printOptions horizontalCentered="1" verticalCentered="1"/>
  <pageMargins left="0" right="0" top="0" bottom="0" header="0" footer="0"/>
  <pageSetup paperSize="5" scale="3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56"/>
  <sheetViews>
    <sheetView topLeftCell="A121" workbookViewId="0">
      <selection activeCell="K169" sqref="K169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927" t="s">
        <v>12</v>
      </c>
      <c r="C1" s="928"/>
      <c r="D1" s="928"/>
      <c r="E1" s="928"/>
      <c r="F1" s="928"/>
      <c r="G1" s="929" t="s">
        <v>706</v>
      </c>
      <c r="H1" s="929"/>
      <c r="I1" s="153"/>
      <c r="J1" s="153"/>
      <c r="K1" s="930" t="s">
        <v>707</v>
      </c>
      <c r="L1" s="930"/>
      <c r="M1" s="154" t="s">
        <v>707</v>
      </c>
      <c r="N1" s="931" t="s">
        <v>4</v>
      </c>
      <c r="O1" s="931"/>
      <c r="P1" s="931" t="s">
        <v>710</v>
      </c>
      <c r="Q1" s="931"/>
      <c r="R1" s="931"/>
      <c r="S1" s="931"/>
      <c r="T1" s="811" t="s">
        <v>22</v>
      </c>
      <c r="U1" s="812"/>
    </row>
    <row r="2" spans="1:29" s="1" customFormat="1" ht="15" customHeight="1" x14ac:dyDescent="0.3">
      <c r="A2" s="620"/>
      <c r="B2" s="945" t="s">
        <v>712</v>
      </c>
      <c r="C2" s="946"/>
      <c r="D2" s="946"/>
      <c r="E2" s="946"/>
      <c r="F2" s="947"/>
      <c r="G2" s="948" t="s">
        <v>706</v>
      </c>
      <c r="H2" s="949"/>
      <c r="I2" s="949"/>
      <c r="J2" s="949"/>
      <c r="K2" s="949"/>
      <c r="L2" s="949"/>
      <c r="M2" s="950"/>
      <c r="N2" s="951" t="s">
        <v>710</v>
      </c>
      <c r="O2" s="952"/>
      <c r="P2" s="952"/>
      <c r="Q2" s="952"/>
      <c r="R2" s="952"/>
      <c r="S2" s="953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722"/>
      <c r="B3" s="954" t="s">
        <v>709</v>
      </c>
      <c r="C3" s="955"/>
      <c r="D3" s="955"/>
      <c r="E3" s="955"/>
      <c r="F3" s="956"/>
      <c r="G3" s="957" t="s">
        <v>709</v>
      </c>
      <c r="H3" s="958"/>
      <c r="I3" s="958"/>
      <c r="J3" s="958"/>
      <c r="K3" s="958"/>
      <c r="L3" s="958"/>
      <c r="M3" s="959"/>
      <c r="N3" s="809" t="s">
        <v>710</v>
      </c>
      <c r="O3" s="810"/>
      <c r="P3" s="810"/>
      <c r="Q3" s="810"/>
      <c r="R3" s="810"/>
      <c r="S3" s="960"/>
      <c r="T3" s="938" t="s">
        <v>708</v>
      </c>
      <c r="U3" s="939"/>
    </row>
    <row r="4" spans="1:29" ht="15" customHeight="1" x14ac:dyDescent="0.25">
      <c r="A4" s="710"/>
      <c r="B4" s="940"/>
      <c r="C4" s="940"/>
      <c r="D4" s="940"/>
      <c r="E4" s="940"/>
      <c r="F4" s="940"/>
      <c r="G4" s="941"/>
      <c r="H4" s="46"/>
      <c r="I4" s="47"/>
      <c r="J4" s="942" t="s">
        <v>11</v>
      </c>
      <c r="K4" s="943"/>
      <c r="L4" s="935" t="s">
        <v>704</v>
      </c>
      <c r="M4" s="936"/>
      <c r="N4" s="937"/>
      <c r="O4" s="936"/>
      <c r="P4" s="937"/>
      <c r="Q4" s="936"/>
      <c r="R4" s="937"/>
      <c r="S4" s="936"/>
      <c r="T4" s="937"/>
      <c r="U4" s="944"/>
      <c r="Z4" s="18" t="s">
        <v>693</v>
      </c>
    </row>
    <row r="5" spans="1:29" ht="15" customHeight="1" thickBot="1" x14ac:dyDescent="0.25">
      <c r="A5" s="711"/>
      <c r="B5" s="734"/>
      <c r="C5" s="734"/>
      <c r="D5" s="734"/>
      <c r="E5" s="734"/>
      <c r="F5" s="734"/>
      <c r="G5" s="735"/>
      <c r="H5" s="50"/>
      <c r="I5" s="47"/>
      <c r="J5" s="156" t="s">
        <v>709</v>
      </c>
      <c r="K5" s="52" t="s">
        <v>711</v>
      </c>
      <c r="L5" s="965" t="s">
        <v>705</v>
      </c>
      <c r="M5" s="654"/>
      <c r="N5" s="653"/>
      <c r="O5" s="654"/>
      <c r="P5" s="653"/>
      <c r="Q5" s="654"/>
      <c r="R5" s="653"/>
      <c r="S5" s="654"/>
      <c r="T5" s="653"/>
      <c r="U5" s="745"/>
    </row>
    <row r="6" spans="1:29" s="3" customFormat="1" ht="15" customHeight="1" x14ac:dyDescent="0.3">
      <c r="A6" s="619"/>
      <c r="B6" s="932" t="s">
        <v>710</v>
      </c>
      <c r="C6" s="933"/>
      <c r="D6" s="933"/>
      <c r="E6" s="933"/>
      <c r="F6" s="933"/>
      <c r="G6" s="934"/>
      <c r="H6" s="206" t="s">
        <v>712</v>
      </c>
      <c r="I6" s="120" t="s">
        <v>709</v>
      </c>
      <c r="J6" s="277"/>
      <c r="K6" s="278"/>
      <c r="L6" s="935"/>
      <c r="M6" s="936"/>
      <c r="N6" s="937"/>
      <c r="O6" s="936"/>
      <c r="P6" s="937"/>
      <c r="Q6" s="936"/>
      <c r="R6" s="937"/>
      <c r="S6" s="936"/>
      <c r="T6" s="937"/>
      <c r="U6" s="944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620"/>
      <c r="B7" s="59"/>
      <c r="C7" s="640"/>
      <c r="D7" s="640"/>
      <c r="E7" s="640"/>
      <c r="F7" s="640"/>
      <c r="G7" s="641"/>
      <c r="H7" s="60"/>
      <c r="I7" s="78"/>
      <c r="J7" s="227"/>
      <c r="K7" s="279"/>
      <c r="L7" s="961"/>
      <c r="M7" s="962"/>
      <c r="N7" s="963"/>
      <c r="O7" s="962"/>
      <c r="P7" s="963"/>
      <c r="Q7" s="962"/>
      <c r="R7" s="963"/>
      <c r="S7" s="962"/>
      <c r="T7" s="963"/>
      <c r="U7" s="964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620"/>
      <c r="B8" s="966"/>
      <c r="C8" s="967"/>
      <c r="D8" s="967"/>
      <c r="E8" s="967"/>
      <c r="F8" s="967"/>
      <c r="G8" s="968"/>
      <c r="H8" s="63"/>
      <c r="I8" s="64"/>
      <c r="J8" s="280"/>
      <c r="K8" s="281"/>
      <c r="L8" s="935"/>
      <c r="M8" s="936"/>
      <c r="N8" s="937"/>
      <c r="O8" s="936"/>
      <c r="P8" s="937"/>
      <c r="Q8" s="936"/>
      <c r="R8" s="937"/>
      <c r="S8" s="936"/>
      <c r="T8" s="937"/>
      <c r="U8" s="944"/>
      <c r="W8" s="12"/>
      <c r="X8" s="12"/>
      <c r="Y8" s="12"/>
      <c r="Z8" s="12"/>
    </row>
    <row r="9" spans="1:29" s="3" customFormat="1" ht="15" customHeight="1" x14ac:dyDescent="0.2">
      <c r="A9" s="620"/>
      <c r="B9" s="59"/>
      <c r="C9" s="640"/>
      <c r="D9" s="640"/>
      <c r="E9" s="640"/>
      <c r="F9" s="640"/>
      <c r="G9" s="641"/>
      <c r="H9" s="66"/>
      <c r="I9" s="119"/>
      <c r="J9" s="231"/>
      <c r="K9" s="275"/>
      <c r="L9" s="961"/>
      <c r="M9" s="962"/>
      <c r="N9" s="963"/>
      <c r="O9" s="962"/>
      <c r="P9" s="963"/>
      <c r="Q9" s="962"/>
      <c r="R9" s="963"/>
      <c r="S9" s="962"/>
      <c r="T9" s="963"/>
      <c r="U9" s="964"/>
      <c r="W9" s="12"/>
      <c r="X9" s="12"/>
      <c r="Y9" s="12"/>
      <c r="Z9" s="12"/>
    </row>
    <row r="10" spans="1:29" s="3" customFormat="1" ht="15" customHeight="1" x14ac:dyDescent="0.2">
      <c r="A10" s="620"/>
      <c r="B10" s="966"/>
      <c r="C10" s="967"/>
      <c r="D10" s="967"/>
      <c r="E10" s="967"/>
      <c r="F10" s="967"/>
      <c r="G10" s="968"/>
      <c r="H10" s="63"/>
      <c r="I10" s="64"/>
      <c r="J10" s="273"/>
      <c r="K10" s="274"/>
      <c r="L10" s="935"/>
      <c r="M10" s="936"/>
      <c r="N10" s="937"/>
      <c r="O10" s="936"/>
      <c r="P10" s="937"/>
      <c r="Q10" s="936"/>
      <c r="R10" s="937"/>
      <c r="S10" s="936"/>
      <c r="T10" s="937"/>
      <c r="U10" s="944"/>
      <c r="W10" s="13"/>
      <c r="X10" s="13"/>
    </row>
    <row r="11" spans="1:29" s="3" customFormat="1" ht="15" customHeight="1" x14ac:dyDescent="0.2">
      <c r="A11" s="620"/>
      <c r="B11" s="59"/>
      <c r="C11" s="640"/>
      <c r="D11" s="640"/>
      <c r="E11" s="640"/>
      <c r="F11" s="640"/>
      <c r="G11" s="641"/>
      <c r="H11" s="66"/>
      <c r="I11" s="119"/>
      <c r="J11" s="231"/>
      <c r="K11" s="275"/>
      <c r="L11" s="961"/>
      <c r="M11" s="962"/>
      <c r="N11" s="963"/>
      <c r="O11" s="962"/>
      <c r="P11" s="963"/>
      <c r="Q11" s="962"/>
      <c r="R11" s="963"/>
      <c r="S11" s="962"/>
      <c r="T11" s="963"/>
      <c r="U11" s="964"/>
      <c r="W11" s="7"/>
      <c r="X11" s="7"/>
    </row>
    <row r="12" spans="1:29" s="3" customFormat="1" ht="15" customHeight="1" x14ac:dyDescent="0.2">
      <c r="A12" s="620"/>
      <c r="B12" s="966"/>
      <c r="C12" s="967"/>
      <c r="D12" s="967"/>
      <c r="E12" s="967"/>
      <c r="F12" s="967"/>
      <c r="G12" s="968"/>
      <c r="H12" s="63"/>
      <c r="I12" s="64"/>
      <c r="J12" s="273"/>
      <c r="K12" s="274"/>
      <c r="L12" s="969"/>
      <c r="M12" s="970"/>
      <c r="N12" s="971"/>
      <c r="O12" s="970"/>
      <c r="P12" s="971"/>
      <c r="Q12" s="970"/>
      <c r="R12" s="971"/>
      <c r="S12" s="970"/>
      <c r="T12" s="971"/>
      <c r="U12" s="972"/>
      <c r="W12" s="7"/>
      <c r="X12" s="7"/>
    </row>
    <row r="13" spans="1:29" s="3" customFormat="1" ht="15" customHeight="1" x14ac:dyDescent="0.2">
      <c r="A13" s="620"/>
      <c r="B13" s="59"/>
      <c r="C13" s="640"/>
      <c r="D13" s="640"/>
      <c r="E13" s="640"/>
      <c r="F13" s="640"/>
      <c r="G13" s="641"/>
      <c r="H13" s="66"/>
      <c r="I13" s="119"/>
      <c r="J13" s="231"/>
      <c r="K13" s="275"/>
      <c r="L13" s="961"/>
      <c r="M13" s="962"/>
      <c r="N13" s="963"/>
      <c r="O13" s="962"/>
      <c r="P13" s="963"/>
      <c r="Q13" s="962"/>
      <c r="R13" s="963"/>
      <c r="S13" s="962"/>
      <c r="T13" s="963"/>
      <c r="U13" s="964"/>
      <c r="W13" s="7"/>
      <c r="X13" s="7"/>
    </row>
    <row r="14" spans="1:29" s="3" customFormat="1" ht="15" customHeight="1" x14ac:dyDescent="0.2">
      <c r="A14" s="620"/>
      <c r="B14" s="966"/>
      <c r="C14" s="967"/>
      <c r="D14" s="967"/>
      <c r="E14" s="967"/>
      <c r="F14" s="967"/>
      <c r="G14" s="968"/>
      <c r="H14" s="63"/>
      <c r="I14" s="74"/>
      <c r="J14" s="273"/>
      <c r="K14" s="274"/>
      <c r="L14" s="969"/>
      <c r="M14" s="970"/>
      <c r="N14" s="971"/>
      <c r="O14" s="970"/>
      <c r="P14" s="971"/>
      <c r="Q14" s="970"/>
      <c r="R14" s="971"/>
      <c r="S14" s="970"/>
      <c r="T14" s="971"/>
      <c r="U14" s="972"/>
      <c r="W14" s="13"/>
      <c r="X14" s="13"/>
    </row>
    <row r="15" spans="1:29" s="3" customFormat="1" ht="15" customHeight="1" x14ac:dyDescent="0.2">
      <c r="A15" s="620"/>
      <c r="B15" s="59"/>
      <c r="C15" s="640"/>
      <c r="D15" s="640"/>
      <c r="E15" s="640"/>
      <c r="F15" s="640"/>
      <c r="G15" s="641"/>
      <c r="H15" s="66"/>
      <c r="I15" s="119"/>
      <c r="J15" s="231"/>
      <c r="K15" s="275"/>
      <c r="L15" s="961"/>
      <c r="M15" s="962"/>
      <c r="N15" s="963"/>
      <c r="O15" s="962"/>
      <c r="P15" s="963"/>
      <c r="Q15" s="962"/>
      <c r="R15" s="963"/>
      <c r="S15" s="962"/>
      <c r="T15" s="963"/>
      <c r="U15" s="964"/>
      <c r="W15" s="13"/>
      <c r="X15" s="13"/>
    </row>
    <row r="16" spans="1:29" s="3" customFormat="1" ht="15" customHeight="1" x14ac:dyDescent="0.2">
      <c r="A16" s="620"/>
      <c r="B16" s="966"/>
      <c r="C16" s="967"/>
      <c r="D16" s="967"/>
      <c r="E16" s="967"/>
      <c r="F16" s="967"/>
      <c r="G16" s="968"/>
      <c r="H16" s="63"/>
      <c r="I16" s="74"/>
      <c r="J16" s="273"/>
      <c r="K16" s="274"/>
      <c r="L16" s="935"/>
      <c r="M16" s="936"/>
      <c r="N16" s="937"/>
      <c r="O16" s="936"/>
      <c r="P16" s="937"/>
      <c r="Q16" s="936"/>
      <c r="R16" s="937"/>
      <c r="S16" s="936"/>
      <c r="T16" s="937"/>
      <c r="U16" s="944"/>
    </row>
    <row r="17" spans="1:24" s="3" customFormat="1" ht="15" customHeight="1" thickBot="1" x14ac:dyDescent="0.25">
      <c r="A17" s="620"/>
      <c r="B17" s="70"/>
      <c r="C17" s="743"/>
      <c r="D17" s="743"/>
      <c r="E17" s="743"/>
      <c r="F17" s="743"/>
      <c r="G17" s="744"/>
      <c r="H17" s="60"/>
      <c r="I17" s="78"/>
      <c r="J17" s="156"/>
      <c r="K17" s="276"/>
      <c r="L17" s="935"/>
      <c r="M17" s="936"/>
      <c r="N17" s="937"/>
      <c r="O17" s="936"/>
      <c r="P17" s="937"/>
      <c r="Q17" s="936"/>
      <c r="R17" s="937"/>
      <c r="S17" s="936"/>
      <c r="T17" s="937"/>
      <c r="U17" s="944"/>
      <c r="W17" s="13"/>
      <c r="X17" s="13"/>
    </row>
    <row r="18" spans="1:24" ht="15" customHeight="1" x14ac:dyDescent="0.2">
      <c r="A18" s="621"/>
      <c r="B18" s="973"/>
      <c r="C18" s="974"/>
      <c r="D18" s="974"/>
      <c r="E18" s="974"/>
      <c r="F18" s="974"/>
      <c r="G18" s="975"/>
      <c r="H18" s="54"/>
      <c r="I18" s="120"/>
      <c r="J18" s="234"/>
      <c r="K18" s="235"/>
      <c r="L18" s="976"/>
      <c r="M18" s="977"/>
      <c r="N18" s="500"/>
      <c r="O18" s="501"/>
      <c r="P18" s="500"/>
      <c r="Q18" s="501"/>
      <c r="R18" s="500"/>
      <c r="S18" s="501"/>
      <c r="T18" s="500"/>
      <c r="U18" s="988"/>
      <c r="W18" s="13"/>
      <c r="X18" s="13"/>
    </row>
    <row r="19" spans="1:24" ht="15" customHeight="1" x14ac:dyDescent="0.2">
      <c r="A19" s="622"/>
      <c r="B19" s="989"/>
      <c r="C19" s="990"/>
      <c r="D19" s="990"/>
      <c r="E19" s="990"/>
      <c r="F19" s="990"/>
      <c r="G19" s="991"/>
      <c r="H19" s="60"/>
      <c r="I19" s="119"/>
      <c r="J19" s="156"/>
      <c r="K19" s="52"/>
      <c r="L19" s="992"/>
      <c r="M19" s="993"/>
      <c r="N19" s="963"/>
      <c r="O19" s="962"/>
      <c r="P19" s="963"/>
      <c r="Q19" s="962"/>
      <c r="R19" s="963"/>
      <c r="S19" s="962"/>
      <c r="T19" s="963"/>
      <c r="U19" s="964"/>
    </row>
    <row r="20" spans="1:24" s="3" customFormat="1" ht="15" customHeight="1" x14ac:dyDescent="0.2">
      <c r="A20" s="622"/>
      <c r="B20" s="978"/>
      <c r="C20" s="979"/>
      <c r="D20" s="979"/>
      <c r="E20" s="979"/>
      <c r="F20" s="979"/>
      <c r="G20" s="980"/>
      <c r="H20" s="63"/>
      <c r="I20" s="74"/>
      <c r="J20" s="236"/>
      <c r="K20" s="237"/>
      <c r="L20" s="981"/>
      <c r="M20" s="982"/>
      <c r="N20" s="971"/>
      <c r="O20" s="970"/>
      <c r="P20" s="971"/>
      <c r="Q20" s="970"/>
      <c r="R20" s="971"/>
      <c r="S20" s="970"/>
      <c r="T20" s="971"/>
      <c r="U20" s="972"/>
    </row>
    <row r="21" spans="1:24" s="3" customFormat="1" ht="15" customHeight="1" thickBot="1" x14ac:dyDescent="0.25">
      <c r="A21" s="623"/>
      <c r="B21" s="983"/>
      <c r="C21" s="984"/>
      <c r="D21" s="984"/>
      <c r="E21" s="984"/>
      <c r="F21" s="984"/>
      <c r="G21" s="985"/>
      <c r="H21" s="75"/>
      <c r="I21" s="76"/>
      <c r="J21" s="238"/>
      <c r="K21" s="239"/>
      <c r="L21" s="986"/>
      <c r="M21" s="987"/>
      <c r="N21" s="653"/>
      <c r="O21" s="654"/>
      <c r="P21" s="653"/>
      <c r="Q21" s="654"/>
      <c r="R21" s="653"/>
      <c r="S21" s="654"/>
      <c r="T21" s="653"/>
      <c r="U21" s="745"/>
    </row>
    <row r="22" spans="1:24" s="3" customFormat="1" ht="15" customHeight="1" x14ac:dyDescent="0.2">
      <c r="A22" s="621" t="s">
        <v>0</v>
      </c>
      <c r="B22" s="645"/>
      <c r="C22" s="646"/>
      <c r="D22" s="646"/>
      <c r="E22" s="646"/>
      <c r="F22" s="646"/>
      <c r="G22" s="647"/>
      <c r="H22" s="54"/>
      <c r="I22" s="120"/>
      <c r="J22" s="234"/>
      <c r="K22" s="235"/>
      <c r="L22" s="998"/>
      <c r="M22" s="999"/>
      <c r="N22" s="999"/>
      <c r="O22" s="999"/>
      <c r="P22" s="999"/>
      <c r="Q22" s="999"/>
      <c r="R22" s="999"/>
      <c r="S22" s="999"/>
      <c r="T22" s="999"/>
      <c r="U22" s="1000"/>
    </row>
    <row r="23" spans="1:24" s="3" customFormat="1" ht="15" customHeight="1" thickBot="1" x14ac:dyDescent="0.25">
      <c r="A23" s="622"/>
      <c r="B23" s="639"/>
      <c r="C23" s="640"/>
      <c r="D23" s="640"/>
      <c r="E23" s="640"/>
      <c r="F23" s="640"/>
      <c r="G23" s="641"/>
      <c r="H23" s="60"/>
      <c r="I23" s="157"/>
      <c r="J23" s="156"/>
      <c r="K23" s="52"/>
      <c r="L23" s="1001"/>
      <c r="M23" s="1002"/>
      <c r="N23" s="1002"/>
      <c r="O23" s="1002"/>
      <c r="P23" s="1002"/>
      <c r="Q23" s="1002"/>
      <c r="R23" s="1002"/>
      <c r="S23" s="1002"/>
      <c r="T23" s="1002"/>
      <c r="U23" s="1003"/>
    </row>
    <row r="24" spans="1:24" s="3" customFormat="1" ht="15" customHeight="1" thickTop="1" x14ac:dyDescent="0.2">
      <c r="A24" s="622"/>
      <c r="B24" s="642" t="s">
        <v>71</v>
      </c>
      <c r="C24" s="643"/>
      <c r="D24" s="643"/>
      <c r="E24" s="643"/>
      <c r="F24" s="643"/>
      <c r="G24" s="644"/>
      <c r="H24" s="63" t="s">
        <v>787</v>
      </c>
      <c r="I24" s="74" t="s">
        <v>115</v>
      </c>
      <c r="J24" s="236" t="s">
        <v>21</v>
      </c>
      <c r="K24" s="237">
        <v>1</v>
      </c>
      <c r="L24" s="969"/>
      <c r="M24" s="970"/>
      <c r="N24" s="971"/>
      <c r="O24" s="970"/>
      <c r="P24" s="971"/>
      <c r="Q24" s="970"/>
      <c r="R24" s="971"/>
      <c r="S24" s="970"/>
      <c r="T24" s="971"/>
      <c r="U24" s="972"/>
      <c r="W24" s="994" t="s">
        <v>120</v>
      </c>
      <c r="X24" s="995"/>
    </row>
    <row r="25" spans="1:24" s="3" customFormat="1" ht="15" customHeight="1" thickBot="1" x14ac:dyDescent="0.25">
      <c r="A25" s="622"/>
      <c r="B25" s="648" t="s">
        <v>116</v>
      </c>
      <c r="C25" s="649"/>
      <c r="D25" s="649"/>
      <c r="E25" s="649"/>
      <c r="F25" s="649"/>
      <c r="G25" s="650"/>
      <c r="H25" s="60"/>
      <c r="I25" s="78"/>
      <c r="J25" s="156"/>
      <c r="K25" s="52"/>
      <c r="L25" s="961"/>
      <c r="M25" s="962"/>
      <c r="N25" s="963"/>
      <c r="O25" s="962"/>
      <c r="P25" s="963"/>
      <c r="Q25" s="962"/>
      <c r="R25" s="963"/>
      <c r="S25" s="962"/>
      <c r="T25" s="963"/>
      <c r="U25" s="964"/>
      <c r="W25" s="996"/>
      <c r="X25" s="997"/>
    </row>
    <row r="26" spans="1:24" s="3" customFormat="1" ht="15" customHeight="1" thickTop="1" x14ac:dyDescent="0.2">
      <c r="A26" s="622"/>
      <c r="B26" s="642" t="s">
        <v>71</v>
      </c>
      <c r="C26" s="643"/>
      <c r="D26" s="643"/>
      <c r="E26" s="643"/>
      <c r="F26" s="643"/>
      <c r="G26" s="644"/>
      <c r="H26" s="63" t="s">
        <v>787</v>
      </c>
      <c r="I26" s="74" t="s">
        <v>118</v>
      </c>
      <c r="J26" s="236" t="s">
        <v>21</v>
      </c>
      <c r="K26" s="237">
        <v>1</v>
      </c>
      <c r="L26" s="969"/>
      <c r="M26" s="970"/>
      <c r="N26" s="971"/>
      <c r="O26" s="970"/>
      <c r="P26" s="971"/>
      <c r="Q26" s="970"/>
      <c r="R26" s="971"/>
      <c r="S26" s="970"/>
      <c r="T26" s="971"/>
      <c r="U26" s="972"/>
      <c r="W26" s="1004" t="s">
        <v>127</v>
      </c>
      <c r="X26" s="1005"/>
    </row>
    <row r="27" spans="1:24" s="3" customFormat="1" ht="15" customHeight="1" thickBot="1" x14ac:dyDescent="0.25">
      <c r="A27" s="622"/>
      <c r="B27" s="639" t="s">
        <v>119</v>
      </c>
      <c r="C27" s="640"/>
      <c r="D27" s="640"/>
      <c r="E27" s="640"/>
      <c r="F27" s="640"/>
      <c r="G27" s="641"/>
      <c r="H27" s="60"/>
      <c r="I27" s="78"/>
      <c r="J27" s="156"/>
      <c r="K27" s="52"/>
      <c r="L27" s="961"/>
      <c r="M27" s="962"/>
      <c r="N27" s="963"/>
      <c r="O27" s="962"/>
      <c r="P27" s="963"/>
      <c r="Q27" s="962"/>
      <c r="R27" s="963"/>
      <c r="S27" s="962"/>
      <c r="T27" s="963"/>
      <c r="U27" s="964"/>
      <c r="W27" s="1006"/>
      <c r="X27" s="1007"/>
    </row>
    <row r="28" spans="1:24" s="3" customFormat="1" ht="15" customHeight="1" thickTop="1" x14ac:dyDescent="0.2">
      <c r="A28" s="622"/>
      <c r="B28" s="642" t="s">
        <v>71</v>
      </c>
      <c r="C28" s="643"/>
      <c r="D28" s="643"/>
      <c r="E28" s="643"/>
      <c r="F28" s="643"/>
      <c r="G28" s="644"/>
      <c r="H28" s="63" t="s">
        <v>787</v>
      </c>
      <c r="I28" s="74" t="s">
        <v>117</v>
      </c>
      <c r="J28" s="236" t="s">
        <v>21</v>
      </c>
      <c r="K28" s="237">
        <v>1</v>
      </c>
      <c r="L28" s="969"/>
      <c r="M28" s="970"/>
      <c r="N28" s="971"/>
      <c r="O28" s="970"/>
      <c r="P28" s="971"/>
      <c r="Q28" s="970"/>
      <c r="R28" s="971"/>
      <c r="S28" s="970"/>
      <c r="T28" s="971"/>
      <c r="U28" s="972"/>
      <c r="W28" s="1008" t="s">
        <v>611</v>
      </c>
      <c r="X28" s="1009"/>
    </row>
    <row r="29" spans="1:24" s="3" customFormat="1" ht="15" customHeight="1" thickBot="1" x14ac:dyDescent="0.25">
      <c r="A29" s="622"/>
      <c r="B29" s="639" t="s">
        <v>113</v>
      </c>
      <c r="C29" s="640"/>
      <c r="D29" s="640"/>
      <c r="E29" s="640"/>
      <c r="F29" s="640"/>
      <c r="G29" s="641"/>
      <c r="H29" s="66"/>
      <c r="I29" s="119"/>
      <c r="J29" s="242"/>
      <c r="K29" s="243"/>
      <c r="L29" s="961"/>
      <c r="M29" s="962"/>
      <c r="N29" s="963"/>
      <c r="O29" s="962"/>
      <c r="P29" s="963"/>
      <c r="Q29" s="962"/>
      <c r="R29" s="963"/>
      <c r="S29" s="962"/>
      <c r="T29" s="963"/>
      <c r="U29" s="964"/>
      <c r="W29" s="1010"/>
      <c r="X29" s="1011"/>
    </row>
    <row r="30" spans="1:24" s="3" customFormat="1" ht="15" customHeight="1" thickTop="1" x14ac:dyDescent="0.2">
      <c r="A30" s="622"/>
      <c r="B30" s="642" t="s">
        <v>71</v>
      </c>
      <c r="C30" s="643"/>
      <c r="D30" s="643"/>
      <c r="E30" s="643"/>
      <c r="F30" s="643"/>
      <c r="G30" s="644"/>
      <c r="H30" s="63" t="s">
        <v>787</v>
      </c>
      <c r="I30" s="74" t="s">
        <v>696</v>
      </c>
      <c r="J30" s="236" t="s">
        <v>21</v>
      </c>
      <c r="K30" s="237">
        <v>1</v>
      </c>
      <c r="L30" s="969"/>
      <c r="M30" s="970"/>
      <c r="N30" s="971"/>
      <c r="O30" s="970"/>
      <c r="P30" s="971"/>
      <c r="Q30" s="970"/>
      <c r="R30" s="971"/>
      <c r="S30" s="970"/>
      <c r="T30" s="971"/>
      <c r="U30" s="972"/>
      <c r="W30" s="1012" t="s">
        <v>126</v>
      </c>
      <c r="X30" s="1013"/>
    </row>
    <row r="31" spans="1:24" s="3" customFormat="1" ht="15" customHeight="1" thickBot="1" x14ac:dyDescent="0.25">
      <c r="A31" s="622"/>
      <c r="B31" s="639" t="s">
        <v>610</v>
      </c>
      <c r="C31" s="640"/>
      <c r="D31" s="640"/>
      <c r="E31" s="640"/>
      <c r="F31" s="640"/>
      <c r="G31" s="641"/>
      <c r="H31" s="66"/>
      <c r="I31" s="119"/>
      <c r="J31" s="242"/>
      <c r="K31" s="243"/>
      <c r="L31" s="961"/>
      <c r="M31" s="962"/>
      <c r="N31" s="963"/>
      <c r="O31" s="962"/>
      <c r="P31" s="963"/>
      <c r="Q31" s="962"/>
      <c r="R31" s="963"/>
      <c r="S31" s="962"/>
      <c r="T31" s="963"/>
      <c r="U31" s="964"/>
      <c r="W31" s="1014"/>
      <c r="X31" s="1015"/>
    </row>
    <row r="32" spans="1:24" s="3" customFormat="1" ht="15" customHeight="1" thickTop="1" x14ac:dyDescent="0.2">
      <c r="A32" s="622"/>
      <c r="B32" s="642" t="s">
        <v>71</v>
      </c>
      <c r="C32" s="643"/>
      <c r="D32" s="643"/>
      <c r="E32" s="643"/>
      <c r="F32" s="643"/>
      <c r="G32" s="644"/>
      <c r="H32" s="63" t="s">
        <v>787</v>
      </c>
      <c r="I32" s="158" t="s">
        <v>697</v>
      </c>
      <c r="J32" s="269">
        <v>1</v>
      </c>
      <c r="K32" s="270">
        <v>1</v>
      </c>
      <c r="L32" s="969"/>
      <c r="M32" s="970"/>
      <c r="N32" s="971"/>
      <c r="O32" s="970"/>
      <c r="P32" s="971"/>
      <c r="Q32" s="970"/>
      <c r="R32" s="971"/>
      <c r="S32" s="970"/>
      <c r="T32" s="971"/>
      <c r="U32" s="972"/>
      <c r="W32" s="1012" t="s">
        <v>699</v>
      </c>
      <c r="X32" s="1013"/>
    </row>
    <row r="33" spans="1:24" s="3" customFormat="1" ht="15" customHeight="1" thickBot="1" x14ac:dyDescent="0.25">
      <c r="A33" s="622"/>
      <c r="B33" s="648" t="s">
        <v>698</v>
      </c>
      <c r="C33" s="649"/>
      <c r="D33" s="649"/>
      <c r="E33" s="649"/>
      <c r="F33" s="649"/>
      <c r="G33" s="650"/>
      <c r="H33" s="159"/>
      <c r="I33" s="129"/>
      <c r="J33" s="271"/>
      <c r="K33" s="272"/>
      <c r="L33" s="961"/>
      <c r="M33" s="962"/>
      <c r="N33" s="963"/>
      <c r="O33" s="962"/>
      <c r="P33" s="963"/>
      <c r="Q33" s="962"/>
      <c r="R33" s="963"/>
      <c r="S33" s="962"/>
      <c r="T33" s="963"/>
      <c r="U33" s="964"/>
      <c r="W33" s="1014"/>
      <c r="X33" s="1015"/>
    </row>
    <row r="34" spans="1:24" s="3" customFormat="1" ht="15" customHeight="1" thickTop="1" x14ac:dyDescent="0.2">
      <c r="A34" s="622"/>
      <c r="B34" s="642" t="s">
        <v>71</v>
      </c>
      <c r="C34" s="643"/>
      <c r="D34" s="643"/>
      <c r="E34" s="643"/>
      <c r="F34" s="643"/>
      <c r="G34" s="644"/>
      <c r="H34" s="63" t="s">
        <v>787</v>
      </c>
      <c r="I34" s="158" t="s">
        <v>72</v>
      </c>
      <c r="J34" s="269">
        <v>1</v>
      </c>
      <c r="K34" s="270">
        <v>1</v>
      </c>
      <c r="L34" s="969"/>
      <c r="M34" s="970"/>
      <c r="N34" s="971"/>
      <c r="O34" s="970"/>
      <c r="P34" s="971"/>
      <c r="Q34" s="970"/>
      <c r="R34" s="971"/>
      <c r="S34" s="970"/>
      <c r="T34" s="971"/>
      <c r="U34" s="972"/>
      <c r="W34" s="1016" t="s">
        <v>121</v>
      </c>
      <c r="X34" s="1017"/>
    </row>
    <row r="35" spans="1:24" s="3" customFormat="1" ht="15" customHeight="1" thickBot="1" x14ac:dyDescent="0.25">
      <c r="A35" s="622"/>
      <c r="B35" s="648" t="s">
        <v>114</v>
      </c>
      <c r="C35" s="649"/>
      <c r="D35" s="649"/>
      <c r="E35" s="649"/>
      <c r="F35" s="649"/>
      <c r="G35" s="650"/>
      <c r="H35" s="159"/>
      <c r="I35" s="129"/>
      <c r="J35" s="271"/>
      <c r="K35" s="272"/>
      <c r="L35" s="961"/>
      <c r="M35" s="962"/>
      <c r="N35" s="963"/>
      <c r="O35" s="962"/>
      <c r="P35" s="963"/>
      <c r="Q35" s="962"/>
      <c r="R35" s="963"/>
      <c r="S35" s="962"/>
      <c r="T35" s="963"/>
      <c r="U35" s="964"/>
      <c r="W35" s="1018"/>
      <c r="X35" s="1019"/>
    </row>
    <row r="36" spans="1:24" s="3" customFormat="1" ht="15" customHeight="1" thickTop="1" x14ac:dyDescent="0.2">
      <c r="A36" s="622"/>
      <c r="B36" s="642" t="s">
        <v>71</v>
      </c>
      <c r="C36" s="643"/>
      <c r="D36" s="643"/>
      <c r="E36" s="643"/>
      <c r="F36" s="643"/>
      <c r="G36" s="644"/>
      <c r="H36" s="63" t="s">
        <v>787</v>
      </c>
      <c r="I36" s="158" t="s">
        <v>124</v>
      </c>
      <c r="J36" s="269">
        <v>1</v>
      </c>
      <c r="K36" s="270">
        <v>1</v>
      </c>
      <c r="L36" s="969"/>
      <c r="M36" s="970"/>
      <c r="N36" s="971"/>
      <c r="O36" s="970"/>
      <c r="P36" s="971"/>
      <c r="Q36" s="970"/>
      <c r="R36" s="971"/>
      <c r="S36" s="970"/>
      <c r="T36" s="971"/>
      <c r="U36" s="972"/>
      <c r="W36" s="1020" t="s">
        <v>123</v>
      </c>
      <c r="X36" s="1021"/>
    </row>
    <row r="37" spans="1:24" s="3" customFormat="1" ht="15" customHeight="1" thickBot="1" x14ac:dyDescent="0.25">
      <c r="A37" s="622"/>
      <c r="B37" s="648" t="s">
        <v>122</v>
      </c>
      <c r="C37" s="649"/>
      <c r="D37" s="649"/>
      <c r="E37" s="649"/>
      <c r="F37" s="649"/>
      <c r="G37" s="650"/>
      <c r="H37" s="159"/>
      <c r="I37" s="129"/>
      <c r="J37" s="271"/>
      <c r="K37" s="243"/>
      <c r="L37" s="961"/>
      <c r="M37" s="962"/>
      <c r="N37" s="963"/>
      <c r="O37" s="962"/>
      <c r="P37" s="963"/>
      <c r="Q37" s="962"/>
      <c r="R37" s="963"/>
      <c r="S37" s="962"/>
      <c r="T37" s="963"/>
      <c r="U37" s="964"/>
      <c r="W37" s="1022"/>
      <c r="X37" s="1023"/>
    </row>
    <row r="38" spans="1:24" s="3" customFormat="1" ht="15" customHeight="1" thickTop="1" x14ac:dyDescent="0.2">
      <c r="A38" s="622"/>
      <c r="B38" s="636" t="s">
        <v>71</v>
      </c>
      <c r="C38" s="637"/>
      <c r="D38" s="637"/>
      <c r="E38" s="637"/>
      <c r="F38" s="637"/>
      <c r="G38" s="638"/>
      <c r="H38" s="63" t="s">
        <v>787</v>
      </c>
      <c r="I38" s="158" t="s">
        <v>280</v>
      </c>
      <c r="J38" s="269">
        <v>1</v>
      </c>
      <c r="K38" s="270">
        <v>1</v>
      </c>
      <c r="L38" s="969"/>
      <c r="M38" s="970"/>
      <c r="N38" s="971"/>
      <c r="O38" s="970"/>
      <c r="P38" s="971"/>
      <c r="Q38" s="970"/>
      <c r="R38" s="971"/>
      <c r="S38" s="970"/>
      <c r="T38" s="971"/>
      <c r="U38" s="972"/>
      <c r="W38" s="1024" t="s">
        <v>128</v>
      </c>
      <c r="X38" s="1025"/>
    </row>
    <row r="39" spans="1:24" s="3" customFormat="1" ht="15" customHeight="1" thickBot="1" x14ac:dyDescent="0.25">
      <c r="A39" s="622"/>
      <c r="B39" s="639" t="s">
        <v>282</v>
      </c>
      <c r="C39" s="640"/>
      <c r="D39" s="640"/>
      <c r="E39" s="640"/>
      <c r="F39" s="640"/>
      <c r="G39" s="641"/>
      <c r="H39" s="159"/>
      <c r="I39" s="129"/>
      <c r="J39" s="271"/>
      <c r="K39" s="272"/>
      <c r="L39" s="961"/>
      <c r="M39" s="962"/>
      <c r="N39" s="963"/>
      <c r="O39" s="962"/>
      <c r="P39" s="963"/>
      <c r="Q39" s="962"/>
      <c r="R39" s="963"/>
      <c r="S39" s="962"/>
      <c r="T39" s="963"/>
      <c r="U39" s="964"/>
      <c r="W39" s="1026"/>
      <c r="X39" s="1027"/>
    </row>
    <row r="40" spans="1:24" s="3" customFormat="1" ht="15" customHeight="1" thickTop="1" x14ac:dyDescent="0.2">
      <c r="A40" s="622"/>
      <c r="B40" s="642" t="s">
        <v>71</v>
      </c>
      <c r="C40" s="643"/>
      <c r="D40" s="643"/>
      <c r="E40" s="643"/>
      <c r="F40" s="643"/>
      <c r="G40" s="644"/>
      <c r="H40" s="63" t="s">
        <v>787</v>
      </c>
      <c r="I40" s="158" t="s">
        <v>281</v>
      </c>
      <c r="J40" s="269">
        <v>1</v>
      </c>
      <c r="K40" s="270">
        <v>1</v>
      </c>
      <c r="L40" s="969"/>
      <c r="M40" s="970"/>
      <c r="N40" s="971"/>
      <c r="O40" s="970"/>
      <c r="P40" s="971"/>
      <c r="Q40" s="970"/>
      <c r="R40" s="971"/>
      <c r="S40" s="970"/>
      <c r="T40" s="971"/>
      <c r="U40" s="972"/>
      <c r="W40" s="1028" t="s">
        <v>129</v>
      </c>
      <c r="X40" s="1029"/>
    </row>
    <row r="41" spans="1:24" s="3" customFormat="1" ht="15" customHeight="1" thickBot="1" x14ac:dyDescent="0.25">
      <c r="A41" s="622"/>
      <c r="B41" s="639" t="s">
        <v>283</v>
      </c>
      <c r="C41" s="640"/>
      <c r="D41" s="640"/>
      <c r="E41" s="640"/>
      <c r="F41" s="640"/>
      <c r="G41" s="641"/>
      <c r="H41" s="159"/>
      <c r="I41" s="129"/>
      <c r="J41" s="271"/>
      <c r="K41" s="272"/>
      <c r="L41" s="961"/>
      <c r="M41" s="962"/>
      <c r="N41" s="963"/>
      <c r="O41" s="962"/>
      <c r="P41" s="963"/>
      <c r="Q41" s="962"/>
      <c r="R41" s="963"/>
      <c r="S41" s="962"/>
      <c r="T41" s="963"/>
      <c r="U41" s="964"/>
      <c r="W41" s="1030"/>
      <c r="X41" s="1031"/>
    </row>
    <row r="42" spans="1:24" s="3" customFormat="1" ht="15" customHeight="1" thickTop="1" x14ac:dyDescent="0.2">
      <c r="A42" s="622"/>
      <c r="B42" s="490" t="s">
        <v>37</v>
      </c>
      <c r="C42" s="491"/>
      <c r="D42" s="491"/>
      <c r="E42" s="491"/>
      <c r="F42" s="491"/>
      <c r="G42" s="492"/>
      <c r="H42" s="79" t="s">
        <v>788</v>
      </c>
      <c r="I42" s="172" t="s">
        <v>160</v>
      </c>
      <c r="J42" s="263"/>
      <c r="K42" s="264"/>
      <c r="L42" s="662" t="s">
        <v>751</v>
      </c>
      <c r="M42" s="487"/>
      <c r="N42" s="468" t="s">
        <v>751</v>
      </c>
      <c r="O42" s="469"/>
      <c r="P42" s="468" t="s">
        <v>751</v>
      </c>
      <c r="Q42" s="469"/>
      <c r="R42" s="468" t="s">
        <v>751</v>
      </c>
      <c r="S42" s="469"/>
      <c r="T42" s="468" t="s">
        <v>751</v>
      </c>
      <c r="U42" s="701"/>
      <c r="W42" s="1132" t="s">
        <v>1217</v>
      </c>
      <c r="X42" s="1133"/>
    </row>
    <row r="43" spans="1:24" s="3" customFormat="1" ht="15" customHeight="1" thickBot="1" x14ac:dyDescent="0.25">
      <c r="A43" s="622"/>
      <c r="B43" s="1136" t="s">
        <v>717</v>
      </c>
      <c r="C43" s="1137"/>
      <c r="D43" s="1137"/>
      <c r="E43" s="1137"/>
      <c r="F43" s="1137"/>
      <c r="G43" s="1138"/>
      <c r="H43" s="95"/>
      <c r="I43" s="9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34"/>
      <c r="X43" s="1135"/>
    </row>
    <row r="44" spans="1:24" s="3" customFormat="1" ht="15" customHeight="1" x14ac:dyDescent="0.2">
      <c r="A44" s="622"/>
      <c r="B44" s="719"/>
      <c r="C44" s="720"/>
      <c r="D44" s="720"/>
      <c r="E44" s="720"/>
      <c r="F44" s="720"/>
      <c r="G44" s="721"/>
      <c r="H44" s="695" t="s">
        <v>36</v>
      </c>
      <c r="I44" s="696"/>
      <c r="J44" s="696"/>
      <c r="K44" s="697"/>
      <c r="L44" s="164">
        <v>42</v>
      </c>
      <c r="M44" s="164">
        <v>43</v>
      </c>
      <c r="N44" s="164">
        <v>44</v>
      </c>
      <c r="O44" s="165"/>
      <c r="P44" s="165"/>
      <c r="Q44" s="166"/>
      <c r="R44" s="166"/>
      <c r="S44" s="166"/>
      <c r="T44" s="166"/>
      <c r="U44" s="201" t="s">
        <v>26</v>
      </c>
      <c r="W44" s="1134"/>
      <c r="X44" s="1135"/>
    </row>
    <row r="45" spans="1:24" s="3" customFormat="1" ht="15" customHeight="1" x14ac:dyDescent="0.2">
      <c r="A45" s="622"/>
      <c r="B45" s="470"/>
      <c r="C45" s="471"/>
      <c r="D45" s="471"/>
      <c r="E45" s="471"/>
      <c r="F45" s="471"/>
      <c r="G45" s="472"/>
      <c r="H45" s="465" t="s">
        <v>40</v>
      </c>
      <c r="I45" s="466"/>
      <c r="J45" s="466"/>
      <c r="K45" s="467"/>
      <c r="L45" s="190">
        <f>IF(L44="","",CONVERT(L44,"cm","m"))</f>
        <v>0.42</v>
      </c>
      <c r="M45" s="190">
        <f t="shared" ref="M45:N45" si="0">IF(M44="","",CONVERT(M44,"cm","m"))</f>
        <v>0.43</v>
      </c>
      <c r="N45" s="190">
        <f t="shared" si="0"/>
        <v>0.44</v>
      </c>
      <c r="O45" s="167"/>
      <c r="P45" s="167"/>
      <c r="Q45" s="168"/>
      <c r="R45" s="168"/>
      <c r="S45" s="168"/>
      <c r="T45" s="167"/>
      <c r="U45" s="202" t="s">
        <v>27</v>
      </c>
      <c r="W45" s="1134"/>
      <c r="X45" s="1135"/>
    </row>
    <row r="46" spans="1:24" s="3" customFormat="1" ht="15" customHeight="1" x14ac:dyDescent="0.2">
      <c r="A46" s="622"/>
      <c r="B46" s="490" t="s">
        <v>37</v>
      </c>
      <c r="C46" s="491"/>
      <c r="D46" s="491"/>
      <c r="E46" s="491"/>
      <c r="F46" s="491"/>
      <c r="G46" s="492"/>
      <c r="H46" s="63" t="s">
        <v>788</v>
      </c>
      <c r="I46" s="80" t="s">
        <v>1221</v>
      </c>
      <c r="J46" s="263"/>
      <c r="K46" s="264"/>
      <c r="L46" s="662" t="s">
        <v>751</v>
      </c>
      <c r="M46" s="487"/>
      <c r="N46" s="468" t="s">
        <v>751</v>
      </c>
      <c r="O46" s="469"/>
      <c r="P46" s="468" t="s">
        <v>751</v>
      </c>
      <c r="Q46" s="469"/>
      <c r="R46" s="468" t="s">
        <v>751</v>
      </c>
      <c r="S46" s="469"/>
      <c r="T46" s="468" t="s">
        <v>751</v>
      </c>
      <c r="U46" s="701"/>
      <c r="W46" s="1038" t="s">
        <v>1216</v>
      </c>
      <c r="X46" s="1039"/>
    </row>
    <row r="47" spans="1:24" s="3" customFormat="1" ht="15" customHeight="1" thickBot="1" x14ac:dyDescent="0.25">
      <c r="A47" s="622"/>
      <c r="B47" s="476" t="s">
        <v>1220</v>
      </c>
      <c r="C47" s="477"/>
      <c r="D47" s="477"/>
      <c r="E47" s="477"/>
      <c r="F47" s="477"/>
      <c r="G47" s="478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1038"/>
      <c r="X47" s="1039"/>
    </row>
    <row r="48" spans="1:24" s="3" customFormat="1" ht="15" customHeight="1" x14ac:dyDescent="0.2">
      <c r="A48" s="622"/>
      <c r="B48" s="719"/>
      <c r="C48" s="720"/>
      <c r="D48" s="720"/>
      <c r="E48" s="720"/>
      <c r="F48" s="720"/>
      <c r="G48" s="721"/>
      <c r="H48" s="696" t="s">
        <v>36</v>
      </c>
      <c r="I48" s="696"/>
      <c r="J48" s="696"/>
      <c r="K48" s="697"/>
      <c r="L48" s="169"/>
      <c r="M48" s="166"/>
      <c r="N48" s="166"/>
      <c r="O48" s="170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1038"/>
      <c r="X48" s="1039"/>
    </row>
    <row r="49" spans="1:24" s="3" customFormat="1" ht="15" customHeight="1" thickBot="1" x14ac:dyDescent="0.25">
      <c r="A49" s="622"/>
      <c r="B49" s="470"/>
      <c r="C49" s="471"/>
      <c r="D49" s="471"/>
      <c r="E49" s="471"/>
      <c r="F49" s="471"/>
      <c r="G49" s="472"/>
      <c r="H49" s="466" t="s">
        <v>40</v>
      </c>
      <c r="I49" s="466"/>
      <c r="J49" s="466"/>
      <c r="K49" s="467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1038"/>
      <c r="X49" s="1039"/>
    </row>
    <row r="50" spans="1:24" s="3" customFormat="1" ht="15" customHeight="1" thickTop="1" x14ac:dyDescent="0.2">
      <c r="A50" s="622"/>
      <c r="B50" s="490" t="s">
        <v>37</v>
      </c>
      <c r="C50" s="491"/>
      <c r="D50" s="491"/>
      <c r="E50" s="491"/>
      <c r="F50" s="491"/>
      <c r="G50" s="492"/>
      <c r="H50" s="79" t="s">
        <v>788</v>
      </c>
      <c r="I50" s="80" t="s">
        <v>1221</v>
      </c>
      <c r="J50" s="263"/>
      <c r="K50" s="264"/>
      <c r="L50" s="662" t="s">
        <v>751</v>
      </c>
      <c r="M50" s="487"/>
      <c r="N50" s="468" t="s">
        <v>751</v>
      </c>
      <c r="O50" s="469"/>
      <c r="P50" s="468" t="s">
        <v>751</v>
      </c>
      <c r="Q50" s="469"/>
      <c r="R50" s="468" t="s">
        <v>751</v>
      </c>
      <c r="S50" s="469"/>
      <c r="T50" s="468" t="s">
        <v>751</v>
      </c>
      <c r="U50" s="701"/>
      <c r="W50" s="1125" t="s">
        <v>1218</v>
      </c>
      <c r="X50" s="1126"/>
    </row>
    <row r="51" spans="1:24" s="3" customFormat="1" ht="15" customHeight="1" thickBot="1" x14ac:dyDescent="0.25">
      <c r="A51" s="622"/>
      <c r="B51" s="476" t="s">
        <v>1220</v>
      </c>
      <c r="C51" s="477"/>
      <c r="D51" s="477"/>
      <c r="E51" s="477"/>
      <c r="F51" s="477"/>
      <c r="G51" s="478"/>
      <c r="H51" s="85"/>
      <c r="I51" s="56"/>
      <c r="J51" s="268"/>
      <c r="K51" s="267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127"/>
      <c r="X51" s="1128"/>
    </row>
    <row r="52" spans="1:24" s="3" customFormat="1" ht="15" customHeight="1" x14ac:dyDescent="0.2">
      <c r="A52" s="622"/>
      <c r="B52" s="719"/>
      <c r="C52" s="720"/>
      <c r="D52" s="720"/>
      <c r="E52" s="720"/>
      <c r="F52" s="720"/>
      <c r="G52" s="721"/>
      <c r="H52" s="695" t="s">
        <v>36</v>
      </c>
      <c r="I52" s="696"/>
      <c r="J52" s="696"/>
      <c r="K52" s="697"/>
      <c r="L52" s="164">
        <v>42</v>
      </c>
      <c r="M52" s="164">
        <v>43</v>
      </c>
      <c r="N52" s="164">
        <v>44</v>
      </c>
      <c r="O52" s="165"/>
      <c r="P52" s="165"/>
      <c r="Q52" s="166"/>
      <c r="R52" s="166"/>
      <c r="S52" s="166"/>
      <c r="T52" s="166"/>
      <c r="U52" s="201" t="s">
        <v>26</v>
      </c>
      <c r="W52" s="1127"/>
      <c r="X52" s="1128"/>
    </row>
    <row r="53" spans="1:24" s="3" customFormat="1" ht="15" customHeight="1" x14ac:dyDescent="0.2">
      <c r="A53" s="622"/>
      <c r="B53" s="470"/>
      <c r="C53" s="471"/>
      <c r="D53" s="471"/>
      <c r="E53" s="471"/>
      <c r="F53" s="471"/>
      <c r="G53" s="472"/>
      <c r="H53" s="465" t="s">
        <v>40</v>
      </c>
      <c r="I53" s="466"/>
      <c r="J53" s="466"/>
      <c r="K53" s="467"/>
      <c r="L53" s="190">
        <f>IF(L52="","",CONVERT(L52,"cm","m"))</f>
        <v>0.42</v>
      </c>
      <c r="M53" s="190">
        <f t="shared" ref="M53:N53" si="4">IF(M52="","",CONVERT(M52,"cm","m"))</f>
        <v>0.43</v>
      </c>
      <c r="N53" s="190">
        <f t="shared" si="4"/>
        <v>0.44</v>
      </c>
      <c r="O53" s="167"/>
      <c r="P53" s="167"/>
      <c r="Q53" s="168"/>
      <c r="R53" s="168"/>
      <c r="S53" s="168"/>
      <c r="T53" s="167"/>
      <c r="U53" s="202" t="s">
        <v>27</v>
      </c>
      <c r="W53" s="1127"/>
      <c r="X53" s="1128"/>
    </row>
    <row r="54" spans="1:24" s="3" customFormat="1" ht="15" customHeight="1" x14ac:dyDescent="0.2">
      <c r="A54" s="622"/>
      <c r="B54" s="490" t="s">
        <v>37</v>
      </c>
      <c r="C54" s="491"/>
      <c r="D54" s="491"/>
      <c r="E54" s="491"/>
      <c r="F54" s="491"/>
      <c r="G54" s="492"/>
      <c r="H54" s="63" t="s">
        <v>788</v>
      </c>
      <c r="I54" s="80" t="s">
        <v>1224</v>
      </c>
      <c r="J54" s="263"/>
      <c r="K54" s="264"/>
      <c r="L54" s="662" t="s">
        <v>751</v>
      </c>
      <c r="M54" s="487"/>
      <c r="N54" s="468" t="s">
        <v>751</v>
      </c>
      <c r="O54" s="469"/>
      <c r="P54" s="468" t="s">
        <v>751</v>
      </c>
      <c r="Q54" s="469"/>
      <c r="R54" s="468" t="s">
        <v>751</v>
      </c>
      <c r="S54" s="469"/>
      <c r="T54" s="468" t="s">
        <v>751</v>
      </c>
      <c r="U54" s="701"/>
      <c r="W54" s="1042" t="s">
        <v>1219</v>
      </c>
      <c r="X54" s="1043"/>
    </row>
    <row r="55" spans="1:24" s="3" customFormat="1" ht="15" customHeight="1" thickBot="1" x14ac:dyDescent="0.25">
      <c r="A55" s="622"/>
      <c r="B55" s="476" t="s">
        <v>1223</v>
      </c>
      <c r="C55" s="477"/>
      <c r="D55" s="477"/>
      <c r="E55" s="477"/>
      <c r="F55" s="477"/>
      <c r="G55" s="478"/>
      <c r="H55" s="92"/>
      <c r="I55" s="56"/>
      <c r="J55" s="266"/>
      <c r="K55" s="267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1042"/>
      <c r="X55" s="1043"/>
    </row>
    <row r="56" spans="1:24" s="3" customFormat="1" ht="15" customHeight="1" x14ac:dyDescent="0.2">
      <c r="A56" s="622"/>
      <c r="B56" s="719"/>
      <c r="C56" s="720"/>
      <c r="D56" s="720"/>
      <c r="E56" s="720"/>
      <c r="F56" s="720"/>
      <c r="G56" s="721"/>
      <c r="H56" s="696" t="s">
        <v>36</v>
      </c>
      <c r="I56" s="696"/>
      <c r="J56" s="696"/>
      <c r="K56" s="697"/>
      <c r="L56" s="169"/>
      <c r="M56" s="166"/>
      <c r="N56" s="166"/>
      <c r="O56" s="170">
        <v>45</v>
      </c>
      <c r="P56" s="164">
        <v>47</v>
      </c>
      <c r="Q56" s="164">
        <v>49</v>
      </c>
      <c r="R56" s="164">
        <v>51</v>
      </c>
      <c r="S56" s="164">
        <v>53</v>
      </c>
      <c r="T56" s="164">
        <v>55</v>
      </c>
      <c r="U56" s="201" t="s">
        <v>26</v>
      </c>
      <c r="W56" s="1042"/>
      <c r="X56" s="1043"/>
    </row>
    <row r="57" spans="1:24" s="3" customFormat="1" ht="15" customHeight="1" thickBot="1" x14ac:dyDescent="0.25">
      <c r="A57" s="622"/>
      <c r="B57" s="470"/>
      <c r="C57" s="471"/>
      <c r="D57" s="471"/>
      <c r="E57" s="471"/>
      <c r="F57" s="471"/>
      <c r="G57" s="472"/>
      <c r="H57" s="466" t="s">
        <v>40</v>
      </c>
      <c r="I57" s="466"/>
      <c r="J57" s="466"/>
      <c r="K57" s="467"/>
      <c r="L57" s="171"/>
      <c r="M57" s="168"/>
      <c r="N57" s="168"/>
      <c r="O57" s="190">
        <f t="shared" ref="O57" si="5">IF(O56="","",CONVERT(O56,"cm","m"))</f>
        <v>0.45</v>
      </c>
      <c r="P57" s="190">
        <f t="shared" ref="P57:T57" si="6">IF(P56="","",CONVERT(P56,"cm","m"))</f>
        <v>0.47000000000000003</v>
      </c>
      <c r="Q57" s="190">
        <f t="shared" si="6"/>
        <v>0.49</v>
      </c>
      <c r="R57" s="190">
        <f t="shared" si="6"/>
        <v>0.51</v>
      </c>
      <c r="S57" s="190">
        <f t="shared" si="6"/>
        <v>0.53</v>
      </c>
      <c r="T57" s="190">
        <f t="shared" si="6"/>
        <v>0.55000000000000004</v>
      </c>
      <c r="U57" s="202" t="s">
        <v>27</v>
      </c>
      <c r="W57" s="1042"/>
      <c r="X57" s="1043"/>
    </row>
    <row r="58" spans="1:24" s="3" customFormat="1" ht="15" customHeight="1" thickTop="1" x14ac:dyDescent="0.2">
      <c r="A58" s="622"/>
      <c r="B58" s="490" t="s">
        <v>37</v>
      </c>
      <c r="C58" s="491"/>
      <c r="D58" s="491"/>
      <c r="E58" s="491"/>
      <c r="F58" s="491"/>
      <c r="G58" s="492"/>
      <c r="H58" s="79" t="s">
        <v>788</v>
      </c>
      <c r="I58" s="80" t="s">
        <v>1224</v>
      </c>
      <c r="J58" s="263"/>
      <c r="K58" s="264"/>
      <c r="L58" s="662" t="s">
        <v>751</v>
      </c>
      <c r="M58" s="487"/>
      <c r="N58" s="468" t="s">
        <v>751</v>
      </c>
      <c r="O58" s="469"/>
      <c r="P58" s="468" t="s">
        <v>751</v>
      </c>
      <c r="Q58" s="469"/>
      <c r="R58" s="468" t="s">
        <v>751</v>
      </c>
      <c r="S58" s="469"/>
      <c r="T58" s="468" t="s">
        <v>751</v>
      </c>
      <c r="U58" s="701"/>
      <c r="W58" s="1121" t="s">
        <v>1222</v>
      </c>
      <c r="X58" s="1122"/>
    </row>
    <row r="59" spans="1:24" s="3" customFormat="1" ht="15" customHeight="1" thickBot="1" x14ac:dyDescent="0.25">
      <c r="A59" s="622"/>
      <c r="B59" s="476" t="s">
        <v>1223</v>
      </c>
      <c r="C59" s="477"/>
      <c r="D59" s="477"/>
      <c r="E59" s="477"/>
      <c r="F59" s="477"/>
      <c r="G59" s="478"/>
      <c r="H59" s="85"/>
      <c r="I59" s="56"/>
      <c r="J59" s="268"/>
      <c r="K59" s="267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123"/>
      <c r="X59" s="1124"/>
    </row>
    <row r="60" spans="1:24" s="3" customFormat="1" ht="15" customHeight="1" x14ac:dyDescent="0.2">
      <c r="A60" s="622"/>
      <c r="B60" s="719"/>
      <c r="C60" s="720"/>
      <c r="D60" s="720"/>
      <c r="E60" s="720"/>
      <c r="F60" s="720"/>
      <c r="G60" s="721"/>
      <c r="H60" s="695" t="s">
        <v>36</v>
      </c>
      <c r="I60" s="696"/>
      <c r="J60" s="696"/>
      <c r="K60" s="697"/>
      <c r="L60" s="164">
        <v>42</v>
      </c>
      <c r="M60" s="164">
        <v>43</v>
      </c>
      <c r="N60" s="164">
        <v>44</v>
      </c>
      <c r="O60" s="207">
        <v>45</v>
      </c>
      <c r="P60" s="294">
        <v>47</v>
      </c>
      <c r="Q60" s="294">
        <v>49</v>
      </c>
      <c r="R60" s="294">
        <v>51</v>
      </c>
      <c r="S60" s="294">
        <v>53</v>
      </c>
      <c r="T60" s="294">
        <v>55</v>
      </c>
      <c r="U60" s="201" t="s">
        <v>26</v>
      </c>
      <c r="W60" s="1123"/>
      <c r="X60" s="1124"/>
    </row>
    <row r="61" spans="1:24" s="3" customFormat="1" ht="15" customHeight="1" x14ac:dyDescent="0.2">
      <c r="A61" s="622"/>
      <c r="B61" s="470"/>
      <c r="C61" s="471"/>
      <c r="D61" s="471"/>
      <c r="E61" s="471"/>
      <c r="F61" s="471"/>
      <c r="G61" s="472"/>
      <c r="H61" s="465" t="s">
        <v>40</v>
      </c>
      <c r="I61" s="466"/>
      <c r="J61" s="466"/>
      <c r="K61" s="467"/>
      <c r="L61" s="190">
        <f>IF(L60="","",CONVERT(L60,"cm","m"))</f>
        <v>0.42</v>
      </c>
      <c r="M61" s="190">
        <f t="shared" ref="M61:S61" si="7">IF(M60="","",CONVERT(M60,"cm","m"))</f>
        <v>0.43</v>
      </c>
      <c r="N61" s="190">
        <f t="shared" si="7"/>
        <v>0.44</v>
      </c>
      <c r="O61" s="190">
        <f t="shared" si="7"/>
        <v>0.45</v>
      </c>
      <c r="P61" s="190">
        <f t="shared" si="7"/>
        <v>0.47000000000000003</v>
      </c>
      <c r="Q61" s="190">
        <f t="shared" si="7"/>
        <v>0.49</v>
      </c>
      <c r="R61" s="190">
        <f t="shared" si="7"/>
        <v>0.51</v>
      </c>
      <c r="S61" s="190">
        <f t="shared" si="7"/>
        <v>0.53</v>
      </c>
      <c r="T61" s="190">
        <f t="shared" ref="T61" si="8">IF(T60="","",CONVERT(T60,"cm","m"))</f>
        <v>0.55000000000000004</v>
      </c>
      <c r="U61" s="202" t="s">
        <v>27</v>
      </c>
      <c r="W61" s="1123"/>
      <c r="X61" s="1124"/>
    </row>
    <row r="62" spans="1:24" s="3" customFormat="1" ht="15" customHeight="1" x14ac:dyDescent="0.2">
      <c r="A62" s="622"/>
      <c r="B62" s="490" t="s">
        <v>37</v>
      </c>
      <c r="C62" s="491"/>
      <c r="D62" s="491"/>
      <c r="E62" s="491"/>
      <c r="F62" s="491"/>
      <c r="G62" s="492"/>
      <c r="H62" s="79" t="s">
        <v>788</v>
      </c>
      <c r="I62" s="172" t="s">
        <v>1227</v>
      </c>
      <c r="J62" s="263"/>
      <c r="K62" s="264"/>
      <c r="L62" s="662" t="s">
        <v>751</v>
      </c>
      <c r="M62" s="487"/>
      <c r="N62" s="468" t="s">
        <v>751</v>
      </c>
      <c r="O62" s="469"/>
      <c r="P62" s="468" t="s">
        <v>751</v>
      </c>
      <c r="Q62" s="469"/>
      <c r="R62" s="468" t="s">
        <v>751</v>
      </c>
      <c r="S62" s="469"/>
      <c r="T62" s="468" t="s">
        <v>751</v>
      </c>
      <c r="U62" s="701"/>
      <c r="W62" s="1139" t="s">
        <v>1225</v>
      </c>
      <c r="X62" s="1140"/>
    </row>
    <row r="63" spans="1:24" s="3" customFormat="1" ht="15" customHeight="1" x14ac:dyDescent="0.2">
      <c r="A63" s="622"/>
      <c r="B63" s="1136" t="s">
        <v>1226</v>
      </c>
      <c r="C63" s="1137"/>
      <c r="D63" s="1137"/>
      <c r="E63" s="1137"/>
      <c r="F63" s="1137"/>
      <c r="G63" s="1138"/>
      <c r="H63" s="95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139"/>
      <c r="X63" s="1140"/>
    </row>
    <row r="64" spans="1:24" s="3" customFormat="1" ht="15" customHeight="1" x14ac:dyDescent="0.2">
      <c r="A64" s="622"/>
      <c r="B64" s="473"/>
      <c r="C64" s="474"/>
      <c r="D64" s="474"/>
      <c r="E64" s="474"/>
      <c r="F64" s="474"/>
      <c r="G64" s="475"/>
      <c r="H64" s="496" t="s">
        <v>161</v>
      </c>
      <c r="I64" s="496"/>
      <c r="J64" s="496"/>
      <c r="K64" s="497"/>
      <c r="L64" s="173"/>
      <c r="M64" s="174">
        <v>39</v>
      </c>
      <c r="N64" s="173"/>
      <c r="O64" s="174">
        <v>40</v>
      </c>
      <c r="P64" s="173"/>
      <c r="Q64" s="174">
        <v>41</v>
      </c>
      <c r="R64" s="173"/>
      <c r="S64" s="175">
        <v>42</v>
      </c>
      <c r="T64" s="173"/>
      <c r="U64" s="201" t="s">
        <v>26</v>
      </c>
      <c r="W64" s="1139"/>
      <c r="X64" s="1140"/>
    </row>
    <row r="65" spans="1:28" s="3" customFormat="1" ht="15" customHeight="1" x14ac:dyDescent="0.2">
      <c r="A65" s="622"/>
      <c r="B65" s="698"/>
      <c r="C65" s="699"/>
      <c r="D65" s="699"/>
      <c r="E65" s="699"/>
      <c r="F65" s="699"/>
      <c r="G65" s="700"/>
      <c r="H65" s="498" t="s">
        <v>40</v>
      </c>
      <c r="I65" s="498"/>
      <c r="J65" s="498"/>
      <c r="K65" s="499"/>
      <c r="L65" s="192"/>
      <c r="M65" s="190">
        <f t="shared" ref="M65" si="9">IF(M64="","",CONVERT(M64,"cm","m"))</f>
        <v>0.39</v>
      </c>
      <c r="N65" s="192"/>
      <c r="O65" s="190">
        <f t="shared" ref="O65" si="10">IF(O64="","",CONVERT(O64,"cm","m"))</f>
        <v>0.4</v>
      </c>
      <c r="P65" s="192"/>
      <c r="Q65" s="190">
        <f t="shared" ref="Q65" si="11">IF(Q64="","",CONVERT(Q64,"cm","m"))</f>
        <v>0.41000000000000003</v>
      </c>
      <c r="R65" s="192"/>
      <c r="S65" s="190">
        <f t="shared" ref="S65" si="12">IF(S64="","",CONVERT(S64,"cm","m"))</f>
        <v>0.42</v>
      </c>
      <c r="T65" s="192"/>
      <c r="U65" s="202" t="s">
        <v>27</v>
      </c>
      <c r="W65" s="1139"/>
      <c r="X65" s="1140"/>
    </row>
    <row r="66" spans="1:28" s="3" customFormat="1" ht="15" customHeight="1" x14ac:dyDescent="0.2">
      <c r="A66" s="622"/>
      <c r="B66" s="490" t="s">
        <v>37</v>
      </c>
      <c r="C66" s="491"/>
      <c r="D66" s="491"/>
      <c r="E66" s="491"/>
      <c r="F66" s="491"/>
      <c r="G66" s="492"/>
      <c r="H66" s="79" t="s">
        <v>788</v>
      </c>
      <c r="I66" s="94" t="s">
        <v>10</v>
      </c>
      <c r="J66" s="263"/>
      <c r="K66" s="264"/>
      <c r="L66" s="662" t="s">
        <v>751</v>
      </c>
      <c r="M66" s="487"/>
      <c r="N66" s="468" t="s">
        <v>751</v>
      </c>
      <c r="O66" s="469"/>
      <c r="P66" s="468" t="s">
        <v>751</v>
      </c>
      <c r="Q66" s="469"/>
      <c r="R66" s="468" t="s">
        <v>751</v>
      </c>
      <c r="S66" s="469"/>
      <c r="T66" s="468" t="s">
        <v>751</v>
      </c>
      <c r="U66" s="701"/>
      <c r="W66" s="1042" t="s">
        <v>85</v>
      </c>
      <c r="X66" s="1043"/>
      <c r="AB66" s="9"/>
    </row>
    <row r="67" spans="1:28" s="3" customFormat="1" ht="15" customHeight="1" x14ac:dyDescent="0.2">
      <c r="A67" s="622"/>
      <c r="B67" s="488" t="s">
        <v>41</v>
      </c>
      <c r="C67" s="428"/>
      <c r="D67" s="428"/>
      <c r="E67" s="428"/>
      <c r="F67" s="428"/>
      <c r="G67" s="489"/>
      <c r="H67" s="95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1042"/>
      <c r="X67" s="1043"/>
      <c r="AB67" s="9"/>
    </row>
    <row r="68" spans="1:28" s="3" customFormat="1" ht="15" customHeight="1" x14ac:dyDescent="0.2">
      <c r="A68" s="622"/>
      <c r="B68" s="473"/>
      <c r="C68" s="474"/>
      <c r="D68" s="474"/>
      <c r="E68" s="474"/>
      <c r="F68" s="474"/>
      <c r="G68" s="475"/>
      <c r="H68" s="496" t="s">
        <v>70</v>
      </c>
      <c r="I68" s="496"/>
      <c r="J68" s="496"/>
      <c r="K68" s="497"/>
      <c r="L68" s="297"/>
      <c r="M68" s="298"/>
      <c r="N68" s="298"/>
      <c r="O68" s="298"/>
      <c r="P68" s="298"/>
      <c r="Q68" s="298"/>
      <c r="R68" s="298"/>
      <c r="S68" s="298"/>
      <c r="T68" s="299"/>
      <c r="U68" s="203" t="s">
        <v>26</v>
      </c>
      <c r="W68" s="1042"/>
      <c r="X68" s="1043"/>
    </row>
    <row r="69" spans="1:28" s="3" customFormat="1" ht="15" customHeight="1" thickBot="1" x14ac:dyDescent="0.25">
      <c r="A69" s="622"/>
      <c r="B69" s="698"/>
      <c r="C69" s="699"/>
      <c r="D69" s="699"/>
      <c r="E69" s="699"/>
      <c r="F69" s="699"/>
      <c r="G69" s="700"/>
      <c r="H69" s="498" t="s">
        <v>40</v>
      </c>
      <c r="I69" s="498"/>
      <c r="J69" s="498"/>
      <c r="K69" s="499"/>
      <c r="L69" s="189" t="str">
        <f>IF(L68="","",CONVERT(L68,"cm","m"))</f>
        <v/>
      </c>
      <c r="M69" s="190" t="str">
        <f>IF(M68="","",CONVERT(M68,"cm","m"))</f>
        <v/>
      </c>
      <c r="N69" s="190" t="str">
        <f t="shared" ref="N69:T69" si="13">IF(N68="","",CONVERT(N68,"cm","m"))</f>
        <v/>
      </c>
      <c r="O69" s="190" t="str">
        <f t="shared" si="13"/>
        <v/>
      </c>
      <c r="P69" s="190" t="str">
        <f t="shared" si="13"/>
        <v/>
      </c>
      <c r="Q69" s="190" t="str">
        <f t="shared" si="13"/>
        <v/>
      </c>
      <c r="R69" s="190" t="str">
        <f t="shared" si="13"/>
        <v/>
      </c>
      <c r="S69" s="190" t="str">
        <f t="shared" si="13"/>
        <v/>
      </c>
      <c r="T69" s="190" t="str">
        <f t="shared" si="13"/>
        <v/>
      </c>
      <c r="U69" s="204" t="s">
        <v>27</v>
      </c>
      <c r="W69" s="1042"/>
      <c r="X69" s="1043"/>
    </row>
    <row r="70" spans="1:28" s="3" customFormat="1" ht="15" customHeight="1" thickTop="1" x14ac:dyDescent="0.2">
      <c r="A70" s="622"/>
      <c r="B70" s="490" t="s">
        <v>37</v>
      </c>
      <c r="C70" s="491"/>
      <c r="D70" s="491"/>
      <c r="E70" s="491"/>
      <c r="F70" s="491"/>
      <c r="G70" s="492"/>
      <c r="H70" s="79" t="s">
        <v>788</v>
      </c>
      <c r="I70" s="94" t="s">
        <v>10</v>
      </c>
      <c r="J70" s="263"/>
      <c r="K70" s="264"/>
      <c r="L70" s="662" t="s">
        <v>751</v>
      </c>
      <c r="M70" s="487"/>
      <c r="N70" s="468" t="s">
        <v>751</v>
      </c>
      <c r="O70" s="469"/>
      <c r="P70" s="468" t="s">
        <v>751</v>
      </c>
      <c r="Q70" s="469"/>
      <c r="R70" s="468" t="s">
        <v>751</v>
      </c>
      <c r="S70" s="469"/>
      <c r="T70" s="468" t="s">
        <v>751</v>
      </c>
      <c r="U70" s="701"/>
      <c r="W70" s="1044" t="s">
        <v>86</v>
      </c>
      <c r="X70" s="1045"/>
    </row>
    <row r="71" spans="1:28" s="3" customFormat="1" ht="15" customHeight="1" x14ac:dyDescent="0.2">
      <c r="A71" s="622"/>
      <c r="B71" s="488" t="s">
        <v>41</v>
      </c>
      <c r="C71" s="428"/>
      <c r="D71" s="428"/>
      <c r="E71" s="428"/>
      <c r="F71" s="428"/>
      <c r="G71" s="489"/>
      <c r="H71" s="95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1046"/>
      <c r="X71" s="1047"/>
    </row>
    <row r="72" spans="1:28" s="3" customFormat="1" ht="15" customHeight="1" x14ac:dyDescent="0.2">
      <c r="A72" s="622"/>
      <c r="B72" s="473"/>
      <c r="C72" s="474"/>
      <c r="D72" s="474"/>
      <c r="E72" s="474"/>
      <c r="F72" s="474"/>
      <c r="G72" s="475"/>
      <c r="H72" s="496" t="s">
        <v>786</v>
      </c>
      <c r="I72" s="496"/>
      <c r="J72" s="496"/>
      <c r="K72" s="497"/>
      <c r="L72" s="295"/>
      <c r="M72" s="296"/>
      <c r="N72" s="296"/>
      <c r="O72" s="296"/>
      <c r="P72" s="296"/>
      <c r="Q72" s="296"/>
      <c r="R72" s="296"/>
      <c r="S72" s="296"/>
      <c r="T72" s="299"/>
      <c r="U72" s="203" t="s">
        <v>26</v>
      </c>
      <c r="W72" s="1046"/>
      <c r="X72" s="1047"/>
    </row>
    <row r="73" spans="1:28" s="3" customFormat="1" ht="15" customHeight="1" thickBot="1" x14ac:dyDescent="0.25">
      <c r="A73" s="622"/>
      <c r="B73" s="698"/>
      <c r="C73" s="699"/>
      <c r="D73" s="699"/>
      <c r="E73" s="699"/>
      <c r="F73" s="699"/>
      <c r="G73" s="700"/>
      <c r="H73" s="498" t="s">
        <v>40</v>
      </c>
      <c r="I73" s="498"/>
      <c r="J73" s="498"/>
      <c r="K73" s="499"/>
      <c r="L73" s="189" t="str">
        <f>IF(L72="","",CONVERT(L72,"cm","m")*2)</f>
        <v/>
      </c>
      <c r="M73" s="190" t="str">
        <f>IF(M72="","",CONVERT(M72,"cm","m")*2)</f>
        <v/>
      </c>
      <c r="N73" s="190" t="str">
        <f t="shared" ref="N73:T73" si="14">IF(N72="","",CONVERT(N72,"cm","m")*2)</f>
        <v/>
      </c>
      <c r="O73" s="190" t="str">
        <f t="shared" si="14"/>
        <v/>
      </c>
      <c r="P73" s="190" t="str">
        <f t="shared" si="14"/>
        <v/>
      </c>
      <c r="Q73" s="190" t="str">
        <f t="shared" si="14"/>
        <v/>
      </c>
      <c r="R73" s="190" t="str">
        <f t="shared" si="14"/>
        <v/>
      </c>
      <c r="S73" s="190" t="str">
        <f t="shared" si="14"/>
        <v/>
      </c>
      <c r="T73" s="190" t="str">
        <f t="shared" si="14"/>
        <v/>
      </c>
      <c r="U73" s="204" t="s">
        <v>27</v>
      </c>
      <c r="W73" s="1048"/>
      <c r="X73" s="1049"/>
    </row>
    <row r="74" spans="1:28" s="3" customFormat="1" ht="15" customHeight="1" thickTop="1" x14ac:dyDescent="0.2">
      <c r="A74" s="622"/>
      <c r="B74" s="490" t="s">
        <v>45</v>
      </c>
      <c r="C74" s="491"/>
      <c r="D74" s="491"/>
      <c r="E74" s="491"/>
      <c r="F74" s="491"/>
      <c r="G74" s="492"/>
      <c r="H74" s="63" t="s">
        <v>789</v>
      </c>
      <c r="I74" s="94" t="s">
        <v>10</v>
      </c>
      <c r="J74" s="263"/>
      <c r="K74" s="264"/>
      <c r="L74" s="694" t="s">
        <v>750</v>
      </c>
      <c r="M74" s="469"/>
      <c r="N74" s="486"/>
      <c r="O74" s="487"/>
      <c r="P74" s="486"/>
      <c r="Q74" s="487"/>
      <c r="R74" s="486"/>
      <c r="S74" s="487"/>
      <c r="T74" s="486"/>
      <c r="U74" s="664"/>
      <c r="W74" s="1036" t="s">
        <v>87</v>
      </c>
      <c r="X74" s="1037"/>
      <c r="Y74" s="10"/>
      <c r="Z74" s="10"/>
      <c r="AA74" s="10"/>
    </row>
    <row r="75" spans="1:28" s="3" customFormat="1" ht="15" customHeight="1" x14ac:dyDescent="0.2">
      <c r="A75" s="622"/>
      <c r="B75" s="1050" t="s">
        <v>41</v>
      </c>
      <c r="C75" s="1051"/>
      <c r="D75" s="1051"/>
      <c r="E75" s="1051"/>
      <c r="F75" s="1051"/>
      <c r="G75" s="1052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1038"/>
      <c r="X75" s="1039"/>
      <c r="Y75" s="10"/>
      <c r="Z75" s="10"/>
      <c r="AA75" s="10"/>
    </row>
    <row r="76" spans="1:28" s="3" customFormat="1" ht="15" customHeight="1" x14ac:dyDescent="0.2">
      <c r="A76" s="622"/>
      <c r="B76" s="473"/>
      <c r="C76" s="474"/>
      <c r="D76" s="474"/>
      <c r="E76" s="474"/>
      <c r="F76" s="474"/>
      <c r="G76" s="475"/>
      <c r="H76" s="496" t="s">
        <v>70</v>
      </c>
      <c r="I76" s="496"/>
      <c r="J76" s="496"/>
      <c r="K76" s="497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1038"/>
      <c r="X76" s="1039"/>
      <c r="Y76" s="10"/>
      <c r="AA76" s="10"/>
    </row>
    <row r="77" spans="1:28" s="3" customFormat="1" ht="15" customHeight="1" thickBot="1" x14ac:dyDescent="0.25">
      <c r="A77" s="622"/>
      <c r="B77" s="698"/>
      <c r="C77" s="699"/>
      <c r="D77" s="699"/>
      <c r="E77" s="699"/>
      <c r="F77" s="699"/>
      <c r="G77" s="700"/>
      <c r="H77" s="498" t="s">
        <v>40</v>
      </c>
      <c r="I77" s="498"/>
      <c r="J77" s="498"/>
      <c r="K77" s="499"/>
      <c r="L77" s="191" t="str">
        <f>IF(L76="","",CONVERT(L76,"cm","m"))</f>
        <v/>
      </c>
      <c r="M77" s="190" t="str">
        <f>IF(M76="","",CONVERT(M76,"cm","m"))</f>
        <v/>
      </c>
      <c r="N77" s="190" t="str">
        <f t="shared" ref="N77:T77" si="15">IF(N76="","",CONVERT(N76,"cm","m"))</f>
        <v/>
      </c>
      <c r="O77" s="190" t="str">
        <f t="shared" si="15"/>
        <v/>
      </c>
      <c r="P77" s="190" t="str">
        <f t="shared" si="15"/>
        <v/>
      </c>
      <c r="Q77" s="190" t="str">
        <f t="shared" si="15"/>
        <v/>
      </c>
      <c r="R77" s="190" t="str">
        <f t="shared" si="15"/>
        <v/>
      </c>
      <c r="S77" s="190" t="str">
        <f t="shared" si="15"/>
        <v/>
      </c>
      <c r="T77" s="190" t="str">
        <f t="shared" si="15"/>
        <v/>
      </c>
      <c r="U77" s="204" t="s">
        <v>27</v>
      </c>
      <c r="W77" s="1040"/>
      <c r="X77" s="1041"/>
      <c r="Y77" s="10"/>
      <c r="AA77" s="10"/>
    </row>
    <row r="78" spans="1:28" s="3" customFormat="1" ht="15" customHeight="1" thickTop="1" x14ac:dyDescent="0.2">
      <c r="A78" s="622"/>
      <c r="B78" s="490" t="s">
        <v>45</v>
      </c>
      <c r="C78" s="491"/>
      <c r="D78" s="491"/>
      <c r="E78" s="491"/>
      <c r="F78" s="491"/>
      <c r="G78" s="492"/>
      <c r="H78" s="63" t="s">
        <v>789</v>
      </c>
      <c r="I78" s="94" t="s">
        <v>10</v>
      </c>
      <c r="J78" s="263"/>
      <c r="K78" s="264"/>
      <c r="L78" s="694" t="s">
        <v>750</v>
      </c>
      <c r="M78" s="469"/>
      <c r="N78" s="486"/>
      <c r="O78" s="487"/>
      <c r="P78" s="486"/>
      <c r="Q78" s="487"/>
      <c r="R78" s="486"/>
      <c r="S78" s="487"/>
      <c r="T78" s="486"/>
      <c r="U78" s="664"/>
      <c r="W78" s="1053" t="s">
        <v>88</v>
      </c>
      <c r="X78" s="1054"/>
      <c r="Y78" s="10"/>
      <c r="Z78" s="10"/>
      <c r="AA78" s="10"/>
    </row>
    <row r="79" spans="1:28" s="3" customFormat="1" ht="15" customHeight="1" x14ac:dyDescent="0.2">
      <c r="A79" s="622"/>
      <c r="B79" s="1050" t="s">
        <v>41</v>
      </c>
      <c r="C79" s="1051"/>
      <c r="D79" s="1051"/>
      <c r="E79" s="1051"/>
      <c r="F79" s="1051"/>
      <c r="G79" s="1052"/>
      <c r="H79" s="92"/>
      <c r="I79" s="96"/>
      <c r="J79" s="265"/>
      <c r="K79" s="251"/>
      <c r="L79" s="179" t="s">
        <v>21</v>
      </c>
      <c r="M79" s="179" t="s">
        <v>753</v>
      </c>
      <c r="N79" s="179" t="s">
        <v>760</v>
      </c>
      <c r="O79" s="179" t="s">
        <v>776</v>
      </c>
      <c r="P79" s="179" t="s">
        <v>761</v>
      </c>
      <c r="Q79" s="179" t="s">
        <v>762</v>
      </c>
      <c r="R79" s="179" t="s">
        <v>1315</v>
      </c>
      <c r="S79" s="179" t="s">
        <v>1316</v>
      </c>
      <c r="T79" s="179" t="s">
        <v>1317</v>
      </c>
      <c r="U79" s="162" t="s">
        <v>25</v>
      </c>
      <c r="W79" s="1055"/>
      <c r="X79" s="1056"/>
      <c r="Y79" s="10"/>
      <c r="Z79" s="10"/>
      <c r="AA79" s="10"/>
    </row>
    <row r="80" spans="1:28" s="3" customFormat="1" ht="15" customHeight="1" x14ac:dyDescent="0.2">
      <c r="A80" s="622"/>
      <c r="B80" s="473"/>
      <c r="C80" s="474"/>
      <c r="D80" s="474"/>
      <c r="E80" s="474"/>
      <c r="F80" s="474"/>
      <c r="G80" s="475"/>
      <c r="H80" s="496" t="s">
        <v>786</v>
      </c>
      <c r="I80" s="496"/>
      <c r="J80" s="496"/>
      <c r="K80" s="497"/>
      <c r="L80" s="295"/>
      <c r="M80" s="296"/>
      <c r="N80" s="296"/>
      <c r="O80" s="296"/>
      <c r="P80" s="296"/>
      <c r="Q80" s="296"/>
      <c r="R80" s="296"/>
      <c r="S80" s="296"/>
      <c r="T80" s="300"/>
      <c r="U80" s="203" t="s">
        <v>26</v>
      </c>
      <c r="W80" s="1055"/>
      <c r="X80" s="1056"/>
      <c r="Y80" s="10"/>
      <c r="AA80" s="10"/>
    </row>
    <row r="81" spans="1:27" s="3" customFormat="1" ht="15" customHeight="1" thickBot="1" x14ac:dyDescent="0.25">
      <c r="A81" s="622"/>
      <c r="B81" s="698"/>
      <c r="C81" s="699"/>
      <c r="D81" s="699"/>
      <c r="E81" s="699"/>
      <c r="F81" s="699"/>
      <c r="G81" s="700"/>
      <c r="H81" s="498" t="s">
        <v>40</v>
      </c>
      <c r="I81" s="498"/>
      <c r="J81" s="498"/>
      <c r="K81" s="499"/>
      <c r="L81" s="191" t="str">
        <f>IF(L80="","",CONVERT(L80,"cm","m")*2)</f>
        <v/>
      </c>
      <c r="M81" s="190" t="str">
        <f>IF(M80="","",CONVERT(M80,"cm","m")*2)</f>
        <v/>
      </c>
      <c r="N81" s="190" t="str">
        <f t="shared" ref="N81:T81" si="16">IF(N80="","",CONVERT(N80,"cm","m")*2)</f>
        <v/>
      </c>
      <c r="O81" s="190" t="str">
        <f t="shared" si="16"/>
        <v/>
      </c>
      <c r="P81" s="190" t="str">
        <f t="shared" si="16"/>
        <v/>
      </c>
      <c r="Q81" s="190" t="str">
        <f t="shared" si="16"/>
        <v/>
      </c>
      <c r="R81" s="190" t="str">
        <f t="shared" si="16"/>
        <v/>
      </c>
      <c r="S81" s="190" t="str">
        <f t="shared" si="16"/>
        <v/>
      </c>
      <c r="T81" s="190" t="str">
        <f t="shared" si="16"/>
        <v/>
      </c>
      <c r="U81" s="204" t="s">
        <v>27</v>
      </c>
      <c r="W81" s="1057"/>
      <c r="X81" s="1058"/>
      <c r="Y81" s="10"/>
      <c r="AA81" s="10"/>
    </row>
    <row r="82" spans="1:27" s="3" customFormat="1" ht="15" customHeight="1" thickTop="1" x14ac:dyDescent="0.2">
      <c r="A82" s="622"/>
      <c r="B82" s="490" t="s">
        <v>48</v>
      </c>
      <c r="C82" s="491"/>
      <c r="D82" s="491"/>
      <c r="E82" s="491"/>
      <c r="F82" s="491"/>
      <c r="G82" s="492"/>
      <c r="H82" s="63" t="s">
        <v>787</v>
      </c>
      <c r="I82" s="94" t="s">
        <v>10</v>
      </c>
      <c r="J82" s="263"/>
      <c r="K82" s="264"/>
      <c r="L82" s="694" t="s">
        <v>750</v>
      </c>
      <c r="M82" s="469"/>
      <c r="N82" s="486"/>
      <c r="O82" s="487"/>
      <c r="P82" s="486"/>
      <c r="Q82" s="487"/>
      <c r="R82" s="486"/>
      <c r="S82" s="487"/>
      <c r="T82" s="486"/>
      <c r="U82" s="664"/>
      <c r="W82" s="1059" t="s">
        <v>89</v>
      </c>
      <c r="X82" s="1060"/>
      <c r="Y82" s="10"/>
      <c r="Z82" s="10"/>
      <c r="AA82" s="10"/>
    </row>
    <row r="83" spans="1:27" s="3" customFormat="1" ht="15" customHeight="1" x14ac:dyDescent="0.2">
      <c r="A83" s="622"/>
      <c r="B83" s="1050" t="s">
        <v>43</v>
      </c>
      <c r="C83" s="1051"/>
      <c r="D83" s="1051"/>
      <c r="E83" s="1051"/>
      <c r="F83" s="1051"/>
      <c r="G83" s="1052"/>
      <c r="H83" s="92"/>
      <c r="I83" s="96"/>
      <c r="J83" s="265"/>
      <c r="K83" s="251"/>
      <c r="L83" s="179" t="s">
        <v>21</v>
      </c>
      <c r="M83" s="179" t="s">
        <v>753</v>
      </c>
      <c r="N83" s="179" t="s">
        <v>760</v>
      </c>
      <c r="O83" s="179" t="s">
        <v>776</v>
      </c>
      <c r="P83" s="179" t="s">
        <v>761</v>
      </c>
      <c r="Q83" s="179" t="s">
        <v>762</v>
      </c>
      <c r="R83" s="179" t="s">
        <v>1315</v>
      </c>
      <c r="S83" s="179" t="s">
        <v>1316</v>
      </c>
      <c r="T83" s="179" t="s">
        <v>1317</v>
      </c>
      <c r="U83" s="162" t="s">
        <v>25</v>
      </c>
      <c r="W83" s="1061"/>
      <c r="X83" s="1062"/>
    </row>
    <row r="84" spans="1:27" s="3" customFormat="1" ht="15" customHeight="1" x14ac:dyDescent="0.2">
      <c r="A84" s="622"/>
      <c r="B84" s="1141"/>
      <c r="C84" s="1142"/>
      <c r="D84" s="1142"/>
      <c r="E84" s="1142"/>
      <c r="F84" s="1142"/>
      <c r="G84" s="1143"/>
      <c r="H84" s="496" t="s">
        <v>70</v>
      </c>
      <c r="I84" s="496"/>
      <c r="J84" s="496"/>
      <c r="K84" s="497"/>
      <c r="L84" s="295"/>
      <c r="M84" s="296"/>
      <c r="N84" s="296"/>
      <c r="O84" s="296"/>
      <c r="P84" s="296"/>
      <c r="Q84" s="296"/>
      <c r="R84" s="296"/>
      <c r="S84" s="296"/>
      <c r="T84" s="300"/>
      <c r="U84" s="203" t="s">
        <v>26</v>
      </c>
      <c r="W84" s="1061"/>
      <c r="X84" s="1062"/>
    </row>
    <row r="85" spans="1:27" s="3" customFormat="1" ht="15" customHeight="1" thickBot="1" x14ac:dyDescent="0.25">
      <c r="A85" s="622"/>
      <c r="B85" s="357"/>
      <c r="C85" s="358"/>
      <c r="D85" s="358"/>
      <c r="E85" s="358"/>
      <c r="F85" s="358"/>
      <c r="G85" s="541"/>
      <c r="H85" s="1065" t="s">
        <v>40</v>
      </c>
      <c r="I85" s="1065"/>
      <c r="J85" s="1065"/>
      <c r="K85" s="1066"/>
      <c r="L85" s="187" t="str">
        <f>IF(L84="","",CONVERT(L84,"cm","m"))</f>
        <v/>
      </c>
      <c r="M85" s="188" t="str">
        <f>IF(M84="","",CONVERT(M84,"cm","m"))</f>
        <v/>
      </c>
      <c r="N85" s="188" t="str">
        <f t="shared" ref="N85:T85" si="17">IF(N84="","",CONVERT(N84,"cm","m"))</f>
        <v/>
      </c>
      <c r="O85" s="188" t="str">
        <f t="shared" si="17"/>
        <v/>
      </c>
      <c r="P85" s="188" t="str">
        <f t="shared" si="17"/>
        <v/>
      </c>
      <c r="Q85" s="188" t="str">
        <f t="shared" si="17"/>
        <v/>
      </c>
      <c r="R85" s="188" t="str">
        <f t="shared" si="17"/>
        <v/>
      </c>
      <c r="S85" s="188" t="str">
        <f t="shared" si="17"/>
        <v/>
      </c>
      <c r="T85" s="188" t="str">
        <f t="shared" si="17"/>
        <v/>
      </c>
      <c r="U85" s="205" t="s">
        <v>27</v>
      </c>
      <c r="W85" s="1063"/>
      <c r="X85" s="1064"/>
    </row>
    <row r="86" spans="1:27" s="3" customFormat="1" ht="15" customHeight="1" thickTop="1" x14ac:dyDescent="0.2">
      <c r="A86" s="622"/>
      <c r="B86" s="490" t="s">
        <v>48</v>
      </c>
      <c r="C86" s="491"/>
      <c r="D86" s="491"/>
      <c r="E86" s="491"/>
      <c r="F86" s="491"/>
      <c r="G86" s="492"/>
      <c r="H86" s="63" t="s">
        <v>787</v>
      </c>
      <c r="I86" s="94" t="s">
        <v>10</v>
      </c>
      <c r="J86" s="263"/>
      <c r="K86" s="264"/>
      <c r="L86" s="694" t="s">
        <v>750</v>
      </c>
      <c r="M86" s="469"/>
      <c r="N86" s="486"/>
      <c r="O86" s="487"/>
      <c r="P86" s="486"/>
      <c r="Q86" s="487"/>
      <c r="R86" s="486"/>
      <c r="S86" s="487"/>
      <c r="T86" s="486"/>
      <c r="U86" s="664"/>
      <c r="W86" s="1067" t="s">
        <v>90</v>
      </c>
      <c r="X86" s="1068"/>
    </row>
    <row r="87" spans="1:27" s="3" customFormat="1" ht="15" customHeight="1" x14ac:dyDescent="0.2">
      <c r="A87" s="622"/>
      <c r="B87" s="1050" t="s">
        <v>43</v>
      </c>
      <c r="C87" s="1051"/>
      <c r="D87" s="1051"/>
      <c r="E87" s="1051"/>
      <c r="F87" s="1051"/>
      <c r="G87" s="1052"/>
      <c r="H87" s="92"/>
      <c r="I87" s="96"/>
      <c r="J87" s="265"/>
      <c r="K87" s="251"/>
      <c r="L87" s="179" t="s">
        <v>21</v>
      </c>
      <c r="M87" s="179" t="s">
        <v>753</v>
      </c>
      <c r="N87" s="179" t="s">
        <v>760</v>
      </c>
      <c r="O87" s="179" t="s">
        <v>776</v>
      </c>
      <c r="P87" s="179" t="s">
        <v>761</v>
      </c>
      <c r="Q87" s="179" t="s">
        <v>762</v>
      </c>
      <c r="R87" s="179" t="s">
        <v>1315</v>
      </c>
      <c r="S87" s="179" t="s">
        <v>1316</v>
      </c>
      <c r="T87" s="179" t="s">
        <v>1317</v>
      </c>
      <c r="U87" s="162" t="s">
        <v>25</v>
      </c>
      <c r="W87" s="1069"/>
      <c r="X87" s="1070"/>
    </row>
    <row r="88" spans="1:27" s="3" customFormat="1" ht="15" customHeight="1" x14ac:dyDescent="0.2">
      <c r="A88" s="622"/>
      <c r="B88" s="473"/>
      <c r="C88" s="474"/>
      <c r="D88" s="474"/>
      <c r="E88" s="474"/>
      <c r="F88" s="474"/>
      <c r="G88" s="475"/>
      <c r="H88" s="496" t="s">
        <v>786</v>
      </c>
      <c r="I88" s="496"/>
      <c r="J88" s="496"/>
      <c r="K88" s="497"/>
      <c r="L88" s="295"/>
      <c r="M88" s="296"/>
      <c r="N88" s="296"/>
      <c r="O88" s="296"/>
      <c r="P88" s="296"/>
      <c r="Q88" s="296"/>
      <c r="R88" s="296"/>
      <c r="S88" s="296"/>
      <c r="T88" s="300"/>
      <c r="U88" s="203" t="s">
        <v>26</v>
      </c>
      <c r="W88" s="1069"/>
      <c r="X88" s="1070"/>
    </row>
    <row r="89" spans="1:27" s="3" customFormat="1" ht="15" customHeight="1" thickBot="1" x14ac:dyDescent="0.25">
      <c r="A89" s="622"/>
      <c r="B89" s="360"/>
      <c r="C89" s="361"/>
      <c r="D89" s="361"/>
      <c r="E89" s="361"/>
      <c r="F89" s="361"/>
      <c r="G89" s="1144"/>
      <c r="H89" s="1074" t="s">
        <v>40</v>
      </c>
      <c r="I89" s="1074"/>
      <c r="J89" s="1074"/>
      <c r="K89" s="1075"/>
      <c r="L89" s="302" t="str">
        <f>IF(L88="","",CONVERT(L88,"cm","m")*2)</f>
        <v/>
      </c>
      <c r="M89" s="303" t="str">
        <f>IF(M88="","",CONVERT(M88,"cm","m")*2)</f>
        <v/>
      </c>
      <c r="N89" s="303" t="str">
        <f t="shared" ref="N89:T89" si="18">IF(N88="","",CONVERT(N88,"cm","m")*2)</f>
        <v/>
      </c>
      <c r="O89" s="303" t="str">
        <f t="shared" si="18"/>
        <v/>
      </c>
      <c r="P89" s="303" t="str">
        <f t="shared" si="18"/>
        <v/>
      </c>
      <c r="Q89" s="303" t="str">
        <f t="shared" si="18"/>
        <v/>
      </c>
      <c r="R89" s="303" t="str">
        <f t="shared" si="18"/>
        <v/>
      </c>
      <c r="S89" s="303" t="str">
        <f t="shared" si="18"/>
        <v/>
      </c>
      <c r="T89" s="303" t="str">
        <f t="shared" si="18"/>
        <v/>
      </c>
      <c r="U89" s="304" t="s">
        <v>27</v>
      </c>
      <c r="W89" s="1071"/>
      <c r="X89" s="1072"/>
    </row>
    <row r="90" spans="1:27" s="3" customFormat="1" ht="15" customHeight="1" thickTop="1" x14ac:dyDescent="0.2">
      <c r="A90" s="622"/>
      <c r="B90" s="1145" t="s">
        <v>53</v>
      </c>
      <c r="C90" s="1146"/>
      <c r="D90" s="1146"/>
      <c r="E90" s="1146"/>
      <c r="F90" s="1146"/>
      <c r="G90" s="1147"/>
      <c r="H90" s="123" t="s">
        <v>790</v>
      </c>
      <c r="I90" s="113" t="s">
        <v>59</v>
      </c>
      <c r="J90" s="749">
        <v>1</v>
      </c>
      <c r="K90" s="752">
        <v>1</v>
      </c>
      <c r="L90" s="1148"/>
      <c r="M90" s="1149"/>
      <c r="N90" s="1150"/>
      <c r="O90" s="1149"/>
      <c r="P90" s="1150"/>
      <c r="Q90" s="1149"/>
      <c r="R90" s="1150"/>
      <c r="S90" s="1149"/>
      <c r="T90" s="762" t="s">
        <v>64</v>
      </c>
      <c r="U90" s="763"/>
      <c r="W90" s="1076" t="s">
        <v>140</v>
      </c>
      <c r="X90" s="1077"/>
    </row>
    <row r="91" spans="1:27" s="3" customFormat="1" ht="15" customHeight="1" x14ac:dyDescent="0.2">
      <c r="A91" s="622"/>
      <c r="B91" s="476" t="s">
        <v>75</v>
      </c>
      <c r="C91" s="477"/>
      <c r="D91" s="477"/>
      <c r="E91" s="477"/>
      <c r="F91" s="477"/>
      <c r="G91" s="478"/>
      <c r="H91" s="112"/>
      <c r="I91" s="113" t="s">
        <v>1228</v>
      </c>
      <c r="J91" s="749"/>
      <c r="K91" s="752"/>
      <c r="L91" s="921"/>
      <c r="M91" s="922"/>
      <c r="N91" s="923"/>
      <c r="O91" s="922"/>
      <c r="P91" s="923"/>
      <c r="Q91" s="922"/>
      <c r="R91" s="923"/>
      <c r="S91" s="922"/>
      <c r="T91" s="606" t="s">
        <v>63</v>
      </c>
      <c r="U91" s="607"/>
      <c r="W91" s="1078"/>
      <c r="X91" s="1079"/>
    </row>
    <row r="92" spans="1:27" s="3" customFormat="1" ht="15" customHeight="1" x14ac:dyDescent="0.2">
      <c r="A92" s="622"/>
      <c r="B92" s="476" t="s">
        <v>794</v>
      </c>
      <c r="C92" s="477"/>
      <c r="D92" s="477"/>
      <c r="E92" s="477"/>
      <c r="F92" s="477"/>
      <c r="G92" s="478"/>
      <c r="H92" s="112"/>
      <c r="I92" s="113" t="s">
        <v>60</v>
      </c>
      <c r="J92" s="749"/>
      <c r="K92" s="752"/>
      <c r="L92" s="924"/>
      <c r="M92" s="925"/>
      <c r="N92" s="926"/>
      <c r="O92" s="925"/>
      <c r="P92" s="926"/>
      <c r="Q92" s="925"/>
      <c r="R92" s="926"/>
      <c r="S92" s="925"/>
      <c r="T92" s="610" t="s">
        <v>52</v>
      </c>
      <c r="U92" s="611"/>
      <c r="W92" s="1078"/>
      <c r="X92" s="1079"/>
    </row>
    <row r="93" spans="1:27" s="3" customFormat="1" ht="15" customHeight="1" x14ac:dyDescent="0.2">
      <c r="A93" s="622"/>
      <c r="B93" s="454" t="s">
        <v>68</v>
      </c>
      <c r="C93" s="455"/>
      <c r="D93" s="455"/>
      <c r="E93" s="455"/>
      <c r="F93" s="455"/>
      <c r="G93" s="456"/>
      <c r="H93" s="112"/>
      <c r="I93" s="113" t="s">
        <v>61</v>
      </c>
      <c r="J93" s="749"/>
      <c r="K93" s="752"/>
      <c r="L93" s="432"/>
      <c r="M93" s="433"/>
      <c r="N93" s="434"/>
      <c r="O93" s="433"/>
      <c r="P93" s="434"/>
      <c r="Q93" s="433"/>
      <c r="R93" s="434"/>
      <c r="S93" s="433"/>
      <c r="T93" s="762" t="s">
        <v>65</v>
      </c>
      <c r="U93" s="763"/>
      <c r="W93" s="1078"/>
      <c r="X93" s="1079"/>
    </row>
    <row r="94" spans="1:27" s="3" customFormat="1" ht="15" customHeight="1" x14ac:dyDescent="0.2">
      <c r="A94" s="622"/>
      <c r="B94" s="521"/>
      <c r="C94" s="522"/>
      <c r="D94" s="522"/>
      <c r="E94" s="522"/>
      <c r="F94" s="522"/>
      <c r="G94" s="523"/>
      <c r="H94" s="112"/>
      <c r="I94" s="113" t="s">
        <v>54</v>
      </c>
      <c r="J94" s="749"/>
      <c r="K94" s="752"/>
      <c r="L94" s="540"/>
      <c r="M94" s="458"/>
      <c r="N94" s="457"/>
      <c r="O94" s="458"/>
      <c r="P94" s="457"/>
      <c r="Q94" s="458"/>
      <c r="R94" s="457"/>
      <c r="S94" s="458"/>
      <c r="T94" s="608" t="s">
        <v>66</v>
      </c>
      <c r="U94" s="609"/>
      <c r="W94" s="1078"/>
      <c r="X94" s="1079"/>
    </row>
    <row r="95" spans="1:27" s="3" customFormat="1" ht="15" customHeight="1" x14ac:dyDescent="0.2">
      <c r="A95" s="622"/>
      <c r="B95" s="357"/>
      <c r="C95" s="358"/>
      <c r="D95" s="358"/>
      <c r="E95" s="358"/>
      <c r="F95" s="358"/>
      <c r="G95" s="541"/>
      <c r="H95" s="114"/>
      <c r="I95" s="113" t="s">
        <v>56</v>
      </c>
      <c r="J95" s="749"/>
      <c r="K95" s="752"/>
      <c r="L95" s="524"/>
      <c r="M95" s="525"/>
      <c r="N95" s="539"/>
      <c r="O95" s="525"/>
      <c r="P95" s="539"/>
      <c r="Q95" s="525"/>
      <c r="R95" s="539"/>
      <c r="S95" s="525"/>
      <c r="T95" s="610" t="s">
        <v>67</v>
      </c>
      <c r="U95" s="611"/>
      <c r="W95" s="1078"/>
      <c r="X95" s="1079"/>
    </row>
    <row r="96" spans="1:27" s="3" customFormat="1" ht="15" customHeight="1" x14ac:dyDescent="0.2">
      <c r="A96" s="622"/>
      <c r="B96" s="357"/>
      <c r="C96" s="358"/>
      <c r="D96" s="358"/>
      <c r="E96" s="358"/>
      <c r="F96" s="358"/>
      <c r="G96" s="541"/>
      <c r="H96" s="114"/>
      <c r="I96" s="113" t="s">
        <v>1229</v>
      </c>
      <c r="J96" s="749"/>
      <c r="K96" s="752"/>
      <c r="L96" s="179" t="s">
        <v>21</v>
      </c>
      <c r="M96" s="179" t="s">
        <v>753</v>
      </c>
      <c r="N96" s="179" t="s">
        <v>760</v>
      </c>
      <c r="O96" s="179" t="s">
        <v>776</v>
      </c>
      <c r="P96" s="179" t="s">
        <v>761</v>
      </c>
      <c r="Q96" s="179" t="s">
        <v>762</v>
      </c>
      <c r="R96" s="179" t="s">
        <v>1315</v>
      </c>
      <c r="S96" s="179" t="s">
        <v>1316</v>
      </c>
      <c r="T96" s="179" t="s">
        <v>1317</v>
      </c>
      <c r="U96" s="162" t="s">
        <v>25</v>
      </c>
      <c r="W96" s="1078"/>
      <c r="X96" s="1079"/>
    </row>
    <row r="97" spans="1:24" s="3" customFormat="1" ht="15" customHeight="1" x14ac:dyDescent="0.2">
      <c r="A97" s="622"/>
      <c r="B97" s="505"/>
      <c r="C97" s="506"/>
      <c r="D97" s="506"/>
      <c r="E97" s="506"/>
      <c r="F97" s="506"/>
      <c r="G97" s="507"/>
      <c r="H97" s="114"/>
      <c r="I97" s="217" t="s">
        <v>1230</v>
      </c>
      <c r="J97" s="749"/>
      <c r="K97" s="752"/>
      <c r="L97" s="1151">
        <v>30</v>
      </c>
      <c r="M97" s="1152">
        <v>32</v>
      </c>
      <c r="N97" s="1152">
        <v>34</v>
      </c>
      <c r="O97" s="1152">
        <v>36</v>
      </c>
      <c r="P97" s="1152">
        <v>40</v>
      </c>
      <c r="Q97" s="1152" t="s">
        <v>109</v>
      </c>
      <c r="R97" s="1152">
        <v>46</v>
      </c>
      <c r="S97" s="913">
        <v>50</v>
      </c>
      <c r="T97" s="913">
        <v>54</v>
      </c>
      <c r="U97" s="761" t="s">
        <v>44</v>
      </c>
      <c r="W97" s="1078"/>
      <c r="X97" s="1079"/>
    </row>
    <row r="98" spans="1:24" s="3" customFormat="1" ht="15" customHeight="1" thickBot="1" x14ac:dyDescent="0.25">
      <c r="A98" s="622"/>
      <c r="B98" s="451"/>
      <c r="C98" s="452"/>
      <c r="D98" s="452"/>
      <c r="E98" s="452"/>
      <c r="F98" s="452"/>
      <c r="G98" s="453"/>
      <c r="H98" s="117"/>
      <c r="I98" s="118" t="s">
        <v>58</v>
      </c>
      <c r="J98" s="750"/>
      <c r="K98" s="753"/>
      <c r="L98" s="912"/>
      <c r="M98" s="914"/>
      <c r="N98" s="914"/>
      <c r="O98" s="914"/>
      <c r="P98" s="914"/>
      <c r="Q98" s="914"/>
      <c r="R98" s="914"/>
      <c r="S98" s="914"/>
      <c r="T98" s="914"/>
      <c r="U98" s="760"/>
      <c r="W98" s="1078"/>
      <c r="X98" s="1079"/>
    </row>
    <row r="99" spans="1:24" s="3" customFormat="1" ht="15" customHeight="1" thickTop="1" x14ac:dyDescent="0.25">
      <c r="A99" s="622"/>
      <c r="B99" s="493" t="s">
        <v>53</v>
      </c>
      <c r="C99" s="494"/>
      <c r="D99" s="494"/>
      <c r="E99" s="494"/>
      <c r="F99" s="494"/>
      <c r="G99" s="495"/>
      <c r="H99" s="110" t="s">
        <v>790</v>
      </c>
      <c r="I99" s="176" t="s">
        <v>81</v>
      </c>
      <c r="J99" s="748">
        <v>1</v>
      </c>
      <c r="K99" s="751">
        <v>1</v>
      </c>
      <c r="L99" s="908"/>
      <c r="M99" s="909"/>
      <c r="N99" s="910"/>
      <c r="O99" s="909"/>
      <c r="P99" s="910"/>
      <c r="Q99" s="909"/>
      <c r="R99" s="910"/>
      <c r="S99" s="909"/>
      <c r="T99" s="669" t="s">
        <v>64</v>
      </c>
      <c r="U99" s="670"/>
      <c r="W99" s="1080" t="s">
        <v>91</v>
      </c>
      <c r="X99" s="1081"/>
    </row>
    <row r="100" spans="1:24" s="3" customFormat="1" ht="15" customHeight="1" x14ac:dyDescent="0.25">
      <c r="A100" s="622"/>
      <c r="B100" s="476" t="s">
        <v>73</v>
      </c>
      <c r="C100" s="477"/>
      <c r="D100" s="477"/>
      <c r="E100" s="477"/>
      <c r="F100" s="477"/>
      <c r="G100" s="478"/>
      <c r="H100" s="112"/>
      <c r="I100" s="176" t="s">
        <v>1231</v>
      </c>
      <c r="J100" s="749"/>
      <c r="K100" s="752"/>
      <c r="L100" s="921"/>
      <c r="M100" s="922"/>
      <c r="N100" s="923"/>
      <c r="O100" s="922"/>
      <c r="P100" s="923"/>
      <c r="Q100" s="922"/>
      <c r="R100" s="923"/>
      <c r="S100" s="922"/>
      <c r="T100" s="606" t="s">
        <v>63</v>
      </c>
      <c r="U100" s="607"/>
      <c r="W100" s="1082"/>
      <c r="X100" s="1083"/>
    </row>
    <row r="101" spans="1:24" s="3" customFormat="1" ht="15" customHeight="1" x14ac:dyDescent="0.25">
      <c r="A101" s="622"/>
      <c r="B101" s="476" t="s">
        <v>794</v>
      </c>
      <c r="C101" s="477"/>
      <c r="D101" s="477"/>
      <c r="E101" s="477"/>
      <c r="F101" s="477"/>
      <c r="G101" s="478"/>
      <c r="H101" s="112"/>
      <c r="I101" s="176" t="s">
        <v>82</v>
      </c>
      <c r="J101" s="749"/>
      <c r="K101" s="752"/>
      <c r="L101" s="924"/>
      <c r="M101" s="925"/>
      <c r="N101" s="926"/>
      <c r="O101" s="925"/>
      <c r="P101" s="926"/>
      <c r="Q101" s="925"/>
      <c r="R101" s="926"/>
      <c r="S101" s="925"/>
      <c r="T101" s="610" t="s">
        <v>52</v>
      </c>
      <c r="U101" s="611"/>
      <c r="W101" s="1082"/>
      <c r="X101" s="1083"/>
    </row>
    <row r="102" spans="1:24" s="3" customFormat="1" ht="15" customHeight="1" x14ac:dyDescent="0.25">
      <c r="A102" s="622"/>
      <c r="B102" s="454" t="s">
        <v>68</v>
      </c>
      <c r="C102" s="455"/>
      <c r="D102" s="455"/>
      <c r="E102" s="455"/>
      <c r="F102" s="455"/>
      <c r="G102" s="456"/>
      <c r="H102" s="112"/>
      <c r="I102" s="176" t="s">
        <v>83</v>
      </c>
      <c r="J102" s="749"/>
      <c r="K102" s="752"/>
      <c r="L102" s="432"/>
      <c r="M102" s="433"/>
      <c r="N102" s="434"/>
      <c r="O102" s="433"/>
      <c r="P102" s="434"/>
      <c r="Q102" s="433"/>
      <c r="R102" s="434"/>
      <c r="S102" s="433"/>
      <c r="T102" s="762" t="s">
        <v>65</v>
      </c>
      <c r="U102" s="763"/>
      <c r="W102" s="1082"/>
      <c r="X102" s="1083"/>
    </row>
    <row r="103" spans="1:24" s="3" customFormat="1" ht="15" customHeight="1" x14ac:dyDescent="0.25">
      <c r="A103" s="622"/>
      <c r="B103" s="521"/>
      <c r="C103" s="522"/>
      <c r="D103" s="522"/>
      <c r="E103" s="522"/>
      <c r="F103" s="522"/>
      <c r="G103" s="523"/>
      <c r="H103" s="112"/>
      <c r="I103" s="176" t="s">
        <v>76</v>
      </c>
      <c r="J103" s="749"/>
      <c r="K103" s="752"/>
      <c r="L103" s="540"/>
      <c r="M103" s="458"/>
      <c r="N103" s="457"/>
      <c r="O103" s="458"/>
      <c r="P103" s="457"/>
      <c r="Q103" s="458"/>
      <c r="R103" s="457"/>
      <c r="S103" s="458"/>
      <c r="T103" s="608" t="s">
        <v>66</v>
      </c>
      <c r="U103" s="609"/>
      <c r="W103" s="1082"/>
      <c r="X103" s="1083"/>
    </row>
    <row r="104" spans="1:24" s="3" customFormat="1" ht="15" customHeight="1" x14ac:dyDescent="0.25">
      <c r="A104" s="622"/>
      <c r="B104" s="357"/>
      <c r="C104" s="358"/>
      <c r="D104" s="358"/>
      <c r="E104" s="358"/>
      <c r="F104" s="358"/>
      <c r="G104" s="541"/>
      <c r="H104" s="114"/>
      <c r="I104" s="176" t="s">
        <v>78</v>
      </c>
      <c r="J104" s="749"/>
      <c r="K104" s="752"/>
      <c r="L104" s="524"/>
      <c r="M104" s="525"/>
      <c r="N104" s="539"/>
      <c r="O104" s="525"/>
      <c r="P104" s="539"/>
      <c r="Q104" s="525"/>
      <c r="R104" s="539"/>
      <c r="S104" s="525"/>
      <c r="T104" s="610" t="s">
        <v>67</v>
      </c>
      <c r="U104" s="611"/>
      <c r="W104" s="1082"/>
      <c r="X104" s="1083"/>
    </row>
    <row r="105" spans="1:24" s="3" customFormat="1" ht="15" customHeight="1" x14ac:dyDescent="0.25">
      <c r="A105" s="622"/>
      <c r="B105" s="357"/>
      <c r="C105" s="358"/>
      <c r="D105" s="358"/>
      <c r="E105" s="358"/>
      <c r="F105" s="358"/>
      <c r="G105" s="541"/>
      <c r="H105" s="114"/>
      <c r="I105" s="176" t="s">
        <v>1232</v>
      </c>
      <c r="J105" s="749"/>
      <c r="K105" s="752"/>
      <c r="L105" s="179" t="s">
        <v>21</v>
      </c>
      <c r="M105" s="179" t="s">
        <v>753</v>
      </c>
      <c r="N105" s="179" t="s">
        <v>760</v>
      </c>
      <c r="O105" s="179" t="s">
        <v>776</v>
      </c>
      <c r="P105" s="179" t="s">
        <v>761</v>
      </c>
      <c r="Q105" s="179" t="s">
        <v>762</v>
      </c>
      <c r="R105" s="179" t="s">
        <v>1315</v>
      </c>
      <c r="S105" s="179" t="s">
        <v>1316</v>
      </c>
      <c r="T105" s="179" t="s">
        <v>1317</v>
      </c>
      <c r="U105" s="162" t="s">
        <v>25</v>
      </c>
      <c r="V105" s="4"/>
      <c r="W105" s="1082"/>
      <c r="X105" s="1083"/>
    </row>
    <row r="106" spans="1:24" s="3" customFormat="1" ht="15" customHeight="1" x14ac:dyDescent="0.25">
      <c r="A106" s="622"/>
      <c r="B106" s="505"/>
      <c r="C106" s="506"/>
      <c r="D106" s="506"/>
      <c r="E106" s="506"/>
      <c r="F106" s="506"/>
      <c r="G106" s="507"/>
      <c r="H106" s="114"/>
      <c r="I106" s="301" t="s">
        <v>1233</v>
      </c>
      <c r="J106" s="749"/>
      <c r="K106" s="752"/>
      <c r="L106" s="1151">
        <v>30</v>
      </c>
      <c r="M106" s="1152">
        <v>32</v>
      </c>
      <c r="N106" s="1152">
        <v>34</v>
      </c>
      <c r="O106" s="1152">
        <v>36</v>
      </c>
      <c r="P106" s="1152">
        <v>40</v>
      </c>
      <c r="Q106" s="1152" t="s">
        <v>109</v>
      </c>
      <c r="R106" s="1152">
        <v>46</v>
      </c>
      <c r="S106" s="913">
        <v>50</v>
      </c>
      <c r="T106" s="913">
        <v>54</v>
      </c>
      <c r="U106" s="761" t="s">
        <v>44</v>
      </c>
      <c r="W106" s="1082"/>
      <c r="X106" s="1083"/>
    </row>
    <row r="107" spans="1:24" s="3" customFormat="1" ht="15" customHeight="1" thickBot="1" x14ac:dyDescent="0.3">
      <c r="A107" s="622"/>
      <c r="B107" s="451"/>
      <c r="C107" s="452"/>
      <c r="D107" s="452"/>
      <c r="E107" s="452"/>
      <c r="F107" s="452"/>
      <c r="G107" s="453"/>
      <c r="H107" s="117"/>
      <c r="I107" s="177" t="s">
        <v>80</v>
      </c>
      <c r="J107" s="750"/>
      <c r="K107" s="753"/>
      <c r="L107" s="912"/>
      <c r="M107" s="914"/>
      <c r="N107" s="914"/>
      <c r="O107" s="914"/>
      <c r="P107" s="914"/>
      <c r="Q107" s="914"/>
      <c r="R107" s="914"/>
      <c r="S107" s="914"/>
      <c r="T107" s="914"/>
      <c r="U107" s="760"/>
      <c r="W107" s="1082"/>
      <c r="X107" s="1083"/>
    </row>
    <row r="108" spans="1:24" s="3" customFormat="1" ht="15" customHeight="1" thickTop="1" x14ac:dyDescent="0.2">
      <c r="A108" s="622"/>
      <c r="B108" s="493" t="s">
        <v>53</v>
      </c>
      <c r="C108" s="494"/>
      <c r="D108" s="494"/>
      <c r="E108" s="494"/>
      <c r="F108" s="494"/>
      <c r="G108" s="495"/>
      <c r="H108" s="110" t="s">
        <v>790</v>
      </c>
      <c r="I108" s="113" t="s">
        <v>99</v>
      </c>
      <c r="J108" s="748">
        <v>1</v>
      </c>
      <c r="K108" s="751">
        <v>1</v>
      </c>
      <c r="L108" s="908"/>
      <c r="M108" s="909"/>
      <c r="N108" s="910"/>
      <c r="O108" s="909"/>
      <c r="P108" s="910"/>
      <c r="Q108" s="909"/>
      <c r="R108" s="910"/>
      <c r="S108" s="909"/>
      <c r="T108" s="669" t="s">
        <v>64</v>
      </c>
      <c r="U108" s="670"/>
      <c r="W108" s="1084" t="s">
        <v>92</v>
      </c>
      <c r="X108" s="1085"/>
    </row>
    <row r="109" spans="1:24" s="3" customFormat="1" ht="15" customHeight="1" x14ac:dyDescent="0.2">
      <c r="A109" s="622"/>
      <c r="B109" s="476" t="s">
        <v>93</v>
      </c>
      <c r="C109" s="477"/>
      <c r="D109" s="477"/>
      <c r="E109" s="477"/>
      <c r="F109" s="477"/>
      <c r="G109" s="478"/>
      <c r="H109" s="112"/>
      <c r="I109" s="113" t="s">
        <v>1234</v>
      </c>
      <c r="J109" s="749"/>
      <c r="K109" s="752"/>
      <c r="L109" s="921"/>
      <c r="M109" s="922"/>
      <c r="N109" s="923"/>
      <c r="O109" s="922"/>
      <c r="P109" s="923"/>
      <c r="Q109" s="922"/>
      <c r="R109" s="923"/>
      <c r="S109" s="922"/>
      <c r="T109" s="606" t="s">
        <v>63</v>
      </c>
      <c r="U109" s="607"/>
      <c r="W109" s="1086"/>
      <c r="X109" s="1087"/>
    </row>
    <row r="110" spans="1:24" s="3" customFormat="1" ht="15" customHeight="1" x14ac:dyDescent="0.2">
      <c r="A110" s="622"/>
      <c r="B110" s="476" t="s">
        <v>793</v>
      </c>
      <c r="C110" s="477"/>
      <c r="D110" s="477"/>
      <c r="E110" s="477"/>
      <c r="F110" s="477"/>
      <c r="G110" s="478"/>
      <c r="H110" s="112"/>
      <c r="I110" s="113" t="s">
        <v>100</v>
      </c>
      <c r="J110" s="749"/>
      <c r="K110" s="752"/>
      <c r="L110" s="924"/>
      <c r="M110" s="925"/>
      <c r="N110" s="926"/>
      <c r="O110" s="925"/>
      <c r="P110" s="926"/>
      <c r="Q110" s="925"/>
      <c r="R110" s="926"/>
      <c r="S110" s="925"/>
      <c r="T110" s="610" t="s">
        <v>52</v>
      </c>
      <c r="U110" s="611"/>
      <c r="W110" s="1086"/>
      <c r="X110" s="1087"/>
    </row>
    <row r="111" spans="1:24" s="3" customFormat="1" ht="15" customHeight="1" x14ac:dyDescent="0.2">
      <c r="A111" s="622"/>
      <c r="B111" s="454" t="s">
        <v>68</v>
      </c>
      <c r="C111" s="455"/>
      <c r="D111" s="455"/>
      <c r="E111" s="455"/>
      <c r="F111" s="455"/>
      <c r="G111" s="456"/>
      <c r="H111" s="112"/>
      <c r="I111" s="113" t="s">
        <v>101</v>
      </c>
      <c r="J111" s="749"/>
      <c r="K111" s="752"/>
      <c r="L111" s="432"/>
      <c r="M111" s="433"/>
      <c r="N111" s="434"/>
      <c r="O111" s="433"/>
      <c r="P111" s="434"/>
      <c r="Q111" s="433"/>
      <c r="R111" s="434"/>
      <c r="S111" s="433"/>
      <c r="T111" s="762" t="s">
        <v>65</v>
      </c>
      <c r="U111" s="763"/>
      <c r="W111" s="1086"/>
      <c r="X111" s="1087"/>
    </row>
    <row r="112" spans="1:24" s="3" customFormat="1" ht="15" customHeight="1" x14ac:dyDescent="0.2">
      <c r="A112" s="622"/>
      <c r="B112" s="521"/>
      <c r="C112" s="522"/>
      <c r="D112" s="522"/>
      <c r="E112" s="522"/>
      <c r="F112" s="522"/>
      <c r="G112" s="523"/>
      <c r="H112" s="112"/>
      <c r="I112" s="113" t="s">
        <v>94</v>
      </c>
      <c r="J112" s="749"/>
      <c r="K112" s="752"/>
      <c r="L112" s="540"/>
      <c r="M112" s="458"/>
      <c r="N112" s="457"/>
      <c r="O112" s="458"/>
      <c r="P112" s="457"/>
      <c r="Q112" s="458"/>
      <c r="R112" s="457"/>
      <c r="S112" s="458"/>
      <c r="T112" s="608" t="s">
        <v>66</v>
      </c>
      <c r="U112" s="609"/>
      <c r="W112" s="1086"/>
      <c r="X112" s="1087"/>
    </row>
    <row r="113" spans="1:32" s="3" customFormat="1" ht="15" customHeight="1" x14ac:dyDescent="0.2">
      <c r="A113" s="622"/>
      <c r="B113" s="357"/>
      <c r="C113" s="358"/>
      <c r="D113" s="358"/>
      <c r="E113" s="358"/>
      <c r="F113" s="358"/>
      <c r="G113" s="541"/>
      <c r="H113" s="114"/>
      <c r="I113" s="113" t="s">
        <v>96</v>
      </c>
      <c r="J113" s="749"/>
      <c r="K113" s="752"/>
      <c r="L113" s="524"/>
      <c r="M113" s="525"/>
      <c r="N113" s="539"/>
      <c r="O113" s="525"/>
      <c r="P113" s="539"/>
      <c r="Q113" s="525"/>
      <c r="R113" s="539"/>
      <c r="S113" s="525"/>
      <c r="T113" s="610" t="s">
        <v>67</v>
      </c>
      <c r="U113" s="611"/>
      <c r="W113" s="1086"/>
      <c r="X113" s="1087"/>
    </row>
    <row r="114" spans="1:32" s="3" customFormat="1" ht="15" customHeight="1" x14ac:dyDescent="0.2">
      <c r="A114" s="622"/>
      <c r="B114" s="357"/>
      <c r="C114" s="358"/>
      <c r="D114" s="358"/>
      <c r="E114" s="358"/>
      <c r="F114" s="358"/>
      <c r="G114" s="541"/>
      <c r="H114" s="114"/>
      <c r="I114" s="113" t="s">
        <v>1235</v>
      </c>
      <c r="J114" s="749"/>
      <c r="K114" s="752"/>
      <c r="L114" s="179" t="s">
        <v>21</v>
      </c>
      <c r="M114" s="179" t="s">
        <v>753</v>
      </c>
      <c r="N114" s="179" t="s">
        <v>760</v>
      </c>
      <c r="O114" s="179" t="s">
        <v>776</v>
      </c>
      <c r="P114" s="179" t="s">
        <v>761</v>
      </c>
      <c r="Q114" s="179" t="s">
        <v>762</v>
      </c>
      <c r="R114" s="179" t="s">
        <v>1315</v>
      </c>
      <c r="S114" s="179" t="s">
        <v>1316</v>
      </c>
      <c r="T114" s="179" t="s">
        <v>1317</v>
      </c>
      <c r="U114" s="162" t="s">
        <v>25</v>
      </c>
      <c r="W114" s="1086"/>
      <c r="X114" s="1087"/>
    </row>
    <row r="115" spans="1:32" s="3" customFormat="1" ht="15" customHeight="1" x14ac:dyDescent="0.2">
      <c r="A115" s="622"/>
      <c r="B115" s="505"/>
      <c r="C115" s="506"/>
      <c r="D115" s="506"/>
      <c r="E115" s="506"/>
      <c r="F115" s="506"/>
      <c r="G115" s="507"/>
      <c r="H115" s="114"/>
      <c r="I115" s="217" t="s">
        <v>1236</v>
      </c>
      <c r="J115" s="749"/>
      <c r="K115" s="752"/>
      <c r="L115" s="1151">
        <v>30</v>
      </c>
      <c r="M115" s="1152">
        <v>32</v>
      </c>
      <c r="N115" s="1152">
        <v>34</v>
      </c>
      <c r="O115" s="1152">
        <v>36</v>
      </c>
      <c r="P115" s="1152">
        <v>40</v>
      </c>
      <c r="Q115" s="1152" t="s">
        <v>109</v>
      </c>
      <c r="R115" s="1152">
        <v>46</v>
      </c>
      <c r="S115" s="913">
        <v>50</v>
      </c>
      <c r="T115" s="913">
        <v>54</v>
      </c>
      <c r="U115" s="761" t="s">
        <v>44</v>
      </c>
      <c r="W115" s="1086"/>
      <c r="X115" s="1087"/>
    </row>
    <row r="116" spans="1:32" s="3" customFormat="1" ht="15" customHeight="1" thickBot="1" x14ac:dyDescent="0.25">
      <c r="A116" s="622"/>
      <c r="B116" s="451"/>
      <c r="C116" s="452"/>
      <c r="D116" s="452"/>
      <c r="E116" s="452"/>
      <c r="F116" s="452"/>
      <c r="G116" s="453"/>
      <c r="H116" s="117"/>
      <c r="I116" s="178" t="s">
        <v>98</v>
      </c>
      <c r="J116" s="750"/>
      <c r="K116" s="753"/>
      <c r="L116" s="912"/>
      <c r="M116" s="914"/>
      <c r="N116" s="914"/>
      <c r="O116" s="914"/>
      <c r="P116" s="914"/>
      <c r="Q116" s="914"/>
      <c r="R116" s="914"/>
      <c r="S116" s="914"/>
      <c r="T116" s="914"/>
      <c r="U116" s="760"/>
      <c r="W116" s="1086"/>
      <c r="X116" s="1087"/>
    </row>
    <row r="117" spans="1:32" s="3" customFormat="1" ht="15" customHeight="1" thickTop="1" x14ac:dyDescent="0.2">
      <c r="A117" s="622"/>
      <c r="B117" s="493"/>
      <c r="C117" s="494"/>
      <c r="D117" s="494"/>
      <c r="E117" s="494"/>
      <c r="F117" s="494"/>
      <c r="G117" s="495"/>
      <c r="H117" s="110"/>
      <c r="I117" s="111"/>
      <c r="J117" s="748">
        <v>2</v>
      </c>
      <c r="K117" s="751">
        <v>2</v>
      </c>
      <c r="L117" s="908"/>
      <c r="M117" s="909"/>
      <c r="N117" s="910"/>
      <c r="O117" s="909"/>
      <c r="P117" s="910"/>
      <c r="Q117" s="909"/>
      <c r="R117" s="910"/>
      <c r="S117" s="909"/>
      <c r="T117" s="669" t="s">
        <v>64</v>
      </c>
      <c r="U117" s="670"/>
      <c r="W117" s="1076" t="s">
        <v>141</v>
      </c>
      <c r="X117" s="1090"/>
      <c r="Y117" s="1092"/>
      <c r="Z117" s="1093"/>
    </row>
    <row r="118" spans="1:32" s="3" customFormat="1" ht="15" customHeight="1" x14ac:dyDescent="0.2">
      <c r="A118" s="622"/>
      <c r="B118" s="476"/>
      <c r="C118" s="477"/>
      <c r="D118" s="477"/>
      <c r="E118" s="477"/>
      <c r="F118" s="477"/>
      <c r="G118" s="478"/>
      <c r="H118" s="112"/>
      <c r="I118" s="113"/>
      <c r="J118" s="749"/>
      <c r="K118" s="752"/>
      <c r="L118" s="921"/>
      <c r="M118" s="922"/>
      <c r="N118" s="923"/>
      <c r="O118" s="922"/>
      <c r="P118" s="923"/>
      <c r="Q118" s="922"/>
      <c r="R118" s="923"/>
      <c r="S118" s="922"/>
      <c r="T118" s="606" t="s">
        <v>63</v>
      </c>
      <c r="U118" s="607"/>
      <c r="W118" s="1078"/>
      <c r="X118" s="1091"/>
      <c r="Y118" s="1094"/>
      <c r="Z118" s="1095"/>
    </row>
    <row r="119" spans="1:32" s="3" customFormat="1" ht="15" customHeight="1" x14ac:dyDescent="0.2">
      <c r="A119" s="622"/>
      <c r="B119" s="476"/>
      <c r="C119" s="477"/>
      <c r="D119" s="477"/>
      <c r="E119" s="477"/>
      <c r="F119" s="477"/>
      <c r="G119" s="478"/>
      <c r="H119" s="112"/>
      <c r="I119" s="113"/>
      <c r="J119" s="749"/>
      <c r="K119" s="752"/>
      <c r="L119" s="924"/>
      <c r="M119" s="925"/>
      <c r="N119" s="926"/>
      <c r="O119" s="925"/>
      <c r="P119" s="926"/>
      <c r="Q119" s="925"/>
      <c r="R119" s="926"/>
      <c r="S119" s="925"/>
      <c r="T119" s="610" t="s">
        <v>52</v>
      </c>
      <c r="U119" s="611"/>
      <c r="W119" s="1078"/>
      <c r="X119" s="1091"/>
      <c r="Y119" s="1094"/>
      <c r="Z119" s="1095"/>
    </row>
    <row r="120" spans="1:32" s="3" customFormat="1" ht="15" customHeight="1" x14ac:dyDescent="0.2">
      <c r="A120" s="622"/>
      <c r="B120" s="454" t="s">
        <v>69</v>
      </c>
      <c r="C120" s="455"/>
      <c r="D120" s="455"/>
      <c r="E120" s="455"/>
      <c r="F120" s="455"/>
      <c r="G120" s="456"/>
      <c r="H120" s="112"/>
      <c r="I120" s="113"/>
      <c r="J120" s="749"/>
      <c r="K120" s="752"/>
      <c r="L120" s="432"/>
      <c r="M120" s="433"/>
      <c r="N120" s="434"/>
      <c r="O120" s="433"/>
      <c r="P120" s="434"/>
      <c r="Q120" s="433"/>
      <c r="R120" s="434"/>
      <c r="S120" s="433"/>
      <c r="T120" s="762" t="s">
        <v>65</v>
      </c>
      <c r="U120" s="763"/>
      <c r="W120" s="1078"/>
      <c r="X120" s="1091"/>
      <c r="Y120" s="1094"/>
      <c r="Z120" s="1095"/>
    </row>
    <row r="121" spans="1:32" s="3" customFormat="1" ht="15" customHeight="1" x14ac:dyDescent="0.2">
      <c r="A121" s="622"/>
      <c r="B121" s="454" t="s">
        <v>130</v>
      </c>
      <c r="C121" s="455"/>
      <c r="D121" s="455"/>
      <c r="E121" s="455"/>
      <c r="F121" s="455"/>
      <c r="G121" s="456"/>
      <c r="H121" s="112"/>
      <c r="I121" s="113"/>
      <c r="J121" s="749"/>
      <c r="K121" s="752"/>
      <c r="L121" s="540"/>
      <c r="M121" s="458"/>
      <c r="N121" s="457"/>
      <c r="O121" s="458"/>
      <c r="P121" s="457"/>
      <c r="Q121" s="458"/>
      <c r="R121" s="457"/>
      <c r="S121" s="458"/>
      <c r="T121" s="608" t="s">
        <v>66</v>
      </c>
      <c r="U121" s="609"/>
      <c r="W121" s="1078"/>
      <c r="X121" s="1091"/>
      <c r="Y121" s="1094"/>
      <c r="Z121" s="1095"/>
    </row>
    <row r="122" spans="1:32" s="3" customFormat="1" ht="15" customHeight="1" x14ac:dyDescent="0.2">
      <c r="A122" s="622"/>
      <c r="B122" s="357"/>
      <c r="C122" s="358"/>
      <c r="D122" s="358"/>
      <c r="E122" s="358"/>
      <c r="F122" s="358"/>
      <c r="G122" s="541"/>
      <c r="H122" s="114"/>
      <c r="I122" s="113"/>
      <c r="J122" s="749"/>
      <c r="K122" s="752"/>
      <c r="L122" s="524"/>
      <c r="M122" s="525"/>
      <c r="N122" s="539"/>
      <c r="O122" s="525"/>
      <c r="P122" s="539"/>
      <c r="Q122" s="525"/>
      <c r="R122" s="539"/>
      <c r="S122" s="525"/>
      <c r="T122" s="610" t="s">
        <v>67</v>
      </c>
      <c r="U122" s="611"/>
      <c r="W122" s="1078"/>
      <c r="X122" s="1091"/>
      <c r="Y122" s="1094"/>
      <c r="Z122" s="1095"/>
    </row>
    <row r="123" spans="1:32" s="3" customFormat="1" ht="15" customHeight="1" x14ac:dyDescent="0.2">
      <c r="A123" s="622"/>
      <c r="B123" s="505"/>
      <c r="C123" s="506"/>
      <c r="D123" s="506"/>
      <c r="E123" s="506"/>
      <c r="F123" s="506"/>
      <c r="G123" s="507"/>
      <c r="H123" s="114"/>
      <c r="I123" s="113"/>
      <c r="J123" s="749"/>
      <c r="K123" s="752"/>
      <c r="L123" s="179" t="s">
        <v>21</v>
      </c>
      <c r="M123" s="179" t="s">
        <v>753</v>
      </c>
      <c r="N123" s="179" t="s">
        <v>760</v>
      </c>
      <c r="O123" s="179" t="s">
        <v>776</v>
      </c>
      <c r="P123" s="179" t="s">
        <v>761</v>
      </c>
      <c r="Q123" s="179" t="s">
        <v>762</v>
      </c>
      <c r="R123" s="179" t="s">
        <v>1315</v>
      </c>
      <c r="S123" s="179" t="s">
        <v>1316</v>
      </c>
      <c r="T123" s="179" t="s">
        <v>1317</v>
      </c>
      <c r="U123" s="162" t="s">
        <v>25</v>
      </c>
      <c r="W123" s="1078"/>
      <c r="X123" s="1091"/>
      <c r="Y123" s="1094"/>
      <c r="Z123" s="1095"/>
    </row>
    <row r="124" spans="1:32" s="3" customFormat="1" ht="15" customHeight="1" x14ac:dyDescent="0.2">
      <c r="A124" s="622"/>
      <c r="B124" s="505"/>
      <c r="C124" s="506"/>
      <c r="D124" s="506"/>
      <c r="E124" s="506"/>
      <c r="F124" s="506"/>
      <c r="G124" s="507"/>
      <c r="H124" s="114"/>
      <c r="I124" s="113"/>
      <c r="J124" s="749"/>
      <c r="K124" s="752"/>
      <c r="L124" s="911"/>
      <c r="M124" s="913"/>
      <c r="N124" s="913"/>
      <c r="O124" s="913"/>
      <c r="P124" s="913"/>
      <c r="Q124" s="913"/>
      <c r="R124" s="913"/>
      <c r="S124" s="913"/>
      <c r="T124" s="913"/>
      <c r="U124" s="761" t="s">
        <v>44</v>
      </c>
      <c r="W124" s="1078"/>
      <c r="X124" s="1091"/>
      <c r="Y124" s="1094"/>
      <c r="Z124" s="1095"/>
    </row>
    <row r="125" spans="1:32" s="3" customFormat="1" ht="15" customHeight="1" thickBot="1" x14ac:dyDescent="0.25">
      <c r="A125" s="622"/>
      <c r="B125" s="451"/>
      <c r="C125" s="452"/>
      <c r="D125" s="452"/>
      <c r="E125" s="452"/>
      <c r="F125" s="452"/>
      <c r="G125" s="453"/>
      <c r="H125" s="117"/>
      <c r="I125" s="118"/>
      <c r="J125" s="750"/>
      <c r="K125" s="753"/>
      <c r="L125" s="912"/>
      <c r="M125" s="914"/>
      <c r="N125" s="914"/>
      <c r="O125" s="914"/>
      <c r="P125" s="914"/>
      <c r="Q125" s="914"/>
      <c r="R125" s="914"/>
      <c r="S125" s="914"/>
      <c r="T125" s="914"/>
      <c r="U125" s="760"/>
      <c r="W125" s="1078"/>
      <c r="X125" s="1091"/>
      <c r="Y125" s="1096"/>
      <c r="Z125" s="1097"/>
    </row>
    <row r="126" spans="1:32" ht="15" customHeight="1" thickTop="1" x14ac:dyDescent="0.2">
      <c r="A126" s="116"/>
      <c r="B126" s="493"/>
      <c r="C126" s="494"/>
      <c r="D126" s="494"/>
      <c r="E126" s="494"/>
      <c r="F126" s="494"/>
      <c r="G126" s="495"/>
      <c r="H126" s="110"/>
      <c r="I126" s="111"/>
      <c r="J126" s="748">
        <v>1</v>
      </c>
      <c r="K126" s="751">
        <v>1</v>
      </c>
      <c r="L126" s="908"/>
      <c r="M126" s="909"/>
      <c r="N126" s="910"/>
      <c r="O126" s="909"/>
      <c r="P126" s="910"/>
      <c r="Q126" s="909"/>
      <c r="R126" s="910"/>
      <c r="S126" s="909"/>
      <c r="T126" s="669" t="s">
        <v>64</v>
      </c>
      <c r="U126" s="670"/>
      <c r="V126" s="3"/>
      <c r="W126" s="1080" t="s">
        <v>142</v>
      </c>
      <c r="X126" s="1098"/>
    </row>
    <row r="127" spans="1:32" ht="15" customHeight="1" x14ac:dyDescent="0.2">
      <c r="A127" s="116"/>
      <c r="B127" s="476"/>
      <c r="C127" s="477"/>
      <c r="D127" s="477"/>
      <c r="E127" s="477"/>
      <c r="F127" s="477"/>
      <c r="G127" s="478"/>
      <c r="H127" s="112"/>
      <c r="I127" s="113"/>
      <c r="J127" s="749"/>
      <c r="K127" s="752"/>
      <c r="L127" s="921"/>
      <c r="M127" s="922"/>
      <c r="N127" s="923"/>
      <c r="O127" s="922"/>
      <c r="P127" s="923"/>
      <c r="Q127" s="922"/>
      <c r="R127" s="923"/>
      <c r="S127" s="922"/>
      <c r="T127" s="606" t="s">
        <v>63</v>
      </c>
      <c r="U127" s="607"/>
      <c r="V127" s="3"/>
      <c r="W127" s="1082"/>
      <c r="X127" s="1099"/>
    </row>
    <row r="128" spans="1:32" s="5" customFormat="1" ht="15" customHeight="1" x14ac:dyDescent="0.2">
      <c r="A128" s="116"/>
      <c r="B128" s="476"/>
      <c r="C128" s="477"/>
      <c r="D128" s="477"/>
      <c r="E128" s="477"/>
      <c r="F128" s="477"/>
      <c r="G128" s="478"/>
      <c r="H128" s="112"/>
      <c r="I128" s="113"/>
      <c r="J128" s="749"/>
      <c r="K128" s="752"/>
      <c r="L128" s="924"/>
      <c r="M128" s="925"/>
      <c r="N128" s="926"/>
      <c r="O128" s="925"/>
      <c r="P128" s="926"/>
      <c r="Q128" s="925"/>
      <c r="R128" s="926"/>
      <c r="S128" s="925"/>
      <c r="T128" s="610" t="s">
        <v>52</v>
      </c>
      <c r="U128" s="611"/>
      <c r="V128" s="3"/>
      <c r="W128" s="1082"/>
      <c r="X128" s="1099"/>
      <c r="Y128" s="2"/>
      <c r="Z128" s="2"/>
      <c r="AA128" s="2"/>
      <c r="AB128" s="2"/>
      <c r="AC128" s="2"/>
      <c r="AD128" s="2"/>
      <c r="AE128" s="2"/>
      <c r="AF128" s="2"/>
    </row>
    <row r="129" spans="1:32" s="5" customFormat="1" ht="15" customHeight="1" x14ac:dyDescent="0.2">
      <c r="A129" s="116"/>
      <c r="B129" s="454" t="s">
        <v>145</v>
      </c>
      <c r="C129" s="455"/>
      <c r="D129" s="455"/>
      <c r="E129" s="455"/>
      <c r="F129" s="455"/>
      <c r="G129" s="456"/>
      <c r="H129" s="112"/>
      <c r="I129" s="113"/>
      <c r="J129" s="749"/>
      <c r="K129" s="752"/>
      <c r="L129" s="432"/>
      <c r="M129" s="433"/>
      <c r="N129" s="434"/>
      <c r="O129" s="433"/>
      <c r="P129" s="434"/>
      <c r="Q129" s="433"/>
      <c r="R129" s="434"/>
      <c r="S129" s="433"/>
      <c r="T129" s="762" t="s">
        <v>65</v>
      </c>
      <c r="U129" s="763"/>
      <c r="V129" s="3"/>
      <c r="W129" s="1082"/>
      <c r="X129" s="1099"/>
      <c r="Y129" s="2"/>
      <c r="Z129" s="2"/>
      <c r="AA129" s="2"/>
      <c r="AB129" s="2"/>
      <c r="AC129" s="2"/>
      <c r="AD129" s="2"/>
      <c r="AE129" s="2"/>
      <c r="AF129" s="2"/>
    </row>
    <row r="130" spans="1:32" s="5" customFormat="1" ht="15" customHeight="1" x14ac:dyDescent="0.2">
      <c r="A130" s="116"/>
      <c r="B130" s="521"/>
      <c r="C130" s="522"/>
      <c r="D130" s="522"/>
      <c r="E130" s="522"/>
      <c r="F130" s="522"/>
      <c r="G130" s="523"/>
      <c r="H130" s="112"/>
      <c r="I130" s="113"/>
      <c r="J130" s="749"/>
      <c r="K130" s="752"/>
      <c r="L130" s="540"/>
      <c r="M130" s="458"/>
      <c r="N130" s="457"/>
      <c r="O130" s="458"/>
      <c r="P130" s="457"/>
      <c r="Q130" s="458"/>
      <c r="R130" s="457"/>
      <c r="S130" s="458"/>
      <c r="T130" s="608" t="s">
        <v>66</v>
      </c>
      <c r="U130" s="609"/>
      <c r="V130" s="3"/>
      <c r="W130" s="1082"/>
      <c r="X130" s="1099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16"/>
      <c r="B131" s="357"/>
      <c r="C131" s="358"/>
      <c r="D131" s="358"/>
      <c r="E131" s="358"/>
      <c r="F131" s="358"/>
      <c r="G131" s="541"/>
      <c r="H131" s="114"/>
      <c r="I131" s="113"/>
      <c r="J131" s="749"/>
      <c r="K131" s="752"/>
      <c r="L131" s="524"/>
      <c r="M131" s="525"/>
      <c r="N131" s="539"/>
      <c r="O131" s="525"/>
      <c r="P131" s="539"/>
      <c r="Q131" s="525"/>
      <c r="R131" s="539"/>
      <c r="S131" s="525"/>
      <c r="T131" s="610" t="s">
        <v>67</v>
      </c>
      <c r="U131" s="611"/>
      <c r="V131" s="3"/>
      <c r="W131" s="1082"/>
      <c r="X131" s="1099"/>
    </row>
    <row r="132" spans="1:32" ht="15" customHeight="1" x14ac:dyDescent="0.2">
      <c r="A132" s="116"/>
      <c r="B132" s="505"/>
      <c r="C132" s="506"/>
      <c r="D132" s="506"/>
      <c r="E132" s="506"/>
      <c r="F132" s="506"/>
      <c r="G132" s="507"/>
      <c r="H132" s="114"/>
      <c r="I132" s="113"/>
      <c r="J132" s="749"/>
      <c r="K132" s="752"/>
      <c r="L132" s="179" t="s">
        <v>21</v>
      </c>
      <c r="M132" s="179" t="s">
        <v>753</v>
      </c>
      <c r="N132" s="179" t="s">
        <v>760</v>
      </c>
      <c r="O132" s="179" t="s">
        <v>776</v>
      </c>
      <c r="P132" s="179" t="s">
        <v>761</v>
      </c>
      <c r="Q132" s="179" t="s">
        <v>762</v>
      </c>
      <c r="R132" s="179" t="s">
        <v>1315</v>
      </c>
      <c r="S132" s="179" t="s">
        <v>1316</v>
      </c>
      <c r="T132" s="179" t="s">
        <v>1317</v>
      </c>
      <c r="U132" s="162" t="s">
        <v>25</v>
      </c>
      <c r="V132" s="3"/>
      <c r="W132" s="1082"/>
      <c r="X132" s="1099"/>
    </row>
    <row r="133" spans="1:32" ht="15" customHeight="1" x14ac:dyDescent="0.2">
      <c r="A133" s="116"/>
      <c r="B133" s="505"/>
      <c r="C133" s="506"/>
      <c r="D133" s="506"/>
      <c r="E133" s="506"/>
      <c r="F133" s="506"/>
      <c r="G133" s="507"/>
      <c r="H133" s="114"/>
      <c r="I133" s="113"/>
      <c r="J133" s="749"/>
      <c r="K133" s="752"/>
      <c r="L133" s="1100"/>
      <c r="M133" s="1102"/>
      <c r="N133" s="1102"/>
      <c r="O133" s="1102"/>
      <c r="P133" s="1102"/>
      <c r="Q133" s="1102"/>
      <c r="R133" s="1102"/>
      <c r="S133" s="1102"/>
      <c r="T133" s="1102"/>
      <c r="U133" s="761" t="s">
        <v>44</v>
      </c>
      <c r="V133" s="3"/>
      <c r="W133" s="1082"/>
      <c r="X133" s="1099"/>
    </row>
    <row r="134" spans="1:32" ht="15" customHeight="1" thickBot="1" x14ac:dyDescent="0.25">
      <c r="A134" s="116"/>
      <c r="B134" s="451"/>
      <c r="C134" s="452"/>
      <c r="D134" s="452"/>
      <c r="E134" s="452"/>
      <c r="F134" s="452"/>
      <c r="G134" s="453"/>
      <c r="H134" s="117"/>
      <c r="I134" s="118"/>
      <c r="J134" s="750"/>
      <c r="K134" s="753"/>
      <c r="L134" s="1101"/>
      <c r="M134" s="1103"/>
      <c r="N134" s="1103"/>
      <c r="O134" s="1103"/>
      <c r="P134" s="1103"/>
      <c r="Q134" s="1103"/>
      <c r="R134" s="1103"/>
      <c r="S134" s="1103"/>
      <c r="T134" s="1103"/>
      <c r="U134" s="760"/>
      <c r="V134" s="3"/>
      <c r="W134" s="1082"/>
      <c r="X134" s="1099"/>
    </row>
    <row r="135" spans="1:32" ht="15" customHeight="1" thickTop="1" x14ac:dyDescent="0.2">
      <c r="A135" s="116"/>
      <c r="B135" s="493"/>
      <c r="C135" s="494"/>
      <c r="D135" s="494"/>
      <c r="E135" s="494"/>
      <c r="F135" s="494"/>
      <c r="G135" s="495"/>
      <c r="H135" s="110"/>
      <c r="I135" s="111"/>
      <c r="J135" s="748">
        <v>1</v>
      </c>
      <c r="K135" s="751">
        <v>1</v>
      </c>
      <c r="L135" s="908"/>
      <c r="M135" s="909"/>
      <c r="N135" s="910"/>
      <c r="O135" s="909"/>
      <c r="P135" s="910"/>
      <c r="Q135" s="909"/>
      <c r="R135" s="910"/>
      <c r="S135" s="909"/>
      <c r="T135" s="669" t="s">
        <v>64</v>
      </c>
      <c r="U135" s="670"/>
      <c r="W135" s="1084" t="s">
        <v>146</v>
      </c>
      <c r="X135" s="1085"/>
    </row>
    <row r="136" spans="1:32" ht="15" customHeight="1" x14ac:dyDescent="0.2">
      <c r="A136" s="116"/>
      <c r="B136" s="476"/>
      <c r="C136" s="477"/>
      <c r="D136" s="477"/>
      <c r="E136" s="477"/>
      <c r="F136" s="477"/>
      <c r="G136" s="478"/>
      <c r="H136" s="112"/>
      <c r="I136" s="113"/>
      <c r="J136" s="749"/>
      <c r="K136" s="752"/>
      <c r="L136" s="921"/>
      <c r="M136" s="922"/>
      <c r="N136" s="923"/>
      <c r="O136" s="922"/>
      <c r="P136" s="923"/>
      <c r="Q136" s="922"/>
      <c r="R136" s="923"/>
      <c r="S136" s="922"/>
      <c r="T136" s="606" t="s">
        <v>63</v>
      </c>
      <c r="U136" s="607"/>
      <c r="W136" s="1086"/>
      <c r="X136" s="1087"/>
    </row>
    <row r="137" spans="1:32" ht="15" customHeight="1" x14ac:dyDescent="0.2">
      <c r="A137" s="116"/>
      <c r="B137" s="476"/>
      <c r="C137" s="477"/>
      <c r="D137" s="477"/>
      <c r="E137" s="477"/>
      <c r="F137" s="477"/>
      <c r="G137" s="478"/>
      <c r="H137" s="112"/>
      <c r="I137" s="113"/>
      <c r="J137" s="749"/>
      <c r="K137" s="752"/>
      <c r="L137" s="924"/>
      <c r="M137" s="925"/>
      <c r="N137" s="926"/>
      <c r="O137" s="925"/>
      <c r="P137" s="926"/>
      <c r="Q137" s="925"/>
      <c r="R137" s="926"/>
      <c r="S137" s="925"/>
      <c r="T137" s="610" t="s">
        <v>52</v>
      </c>
      <c r="U137" s="611"/>
      <c r="W137" s="1086"/>
      <c r="X137" s="1087"/>
    </row>
    <row r="138" spans="1:32" ht="15" customHeight="1" x14ac:dyDescent="0.2">
      <c r="A138" s="116"/>
      <c r="B138" s="454"/>
      <c r="C138" s="455"/>
      <c r="D138" s="455"/>
      <c r="E138" s="455"/>
      <c r="F138" s="455"/>
      <c r="G138" s="456"/>
      <c r="H138" s="112"/>
      <c r="I138" s="113"/>
      <c r="J138" s="749"/>
      <c r="K138" s="752"/>
      <c r="L138" s="432"/>
      <c r="M138" s="433"/>
      <c r="N138" s="434"/>
      <c r="O138" s="433"/>
      <c r="P138" s="434"/>
      <c r="Q138" s="433"/>
      <c r="R138" s="434"/>
      <c r="S138" s="433"/>
      <c r="T138" s="762" t="s">
        <v>65</v>
      </c>
      <c r="U138" s="763"/>
      <c r="W138" s="1086"/>
      <c r="X138" s="1087"/>
    </row>
    <row r="139" spans="1:32" ht="15" customHeight="1" x14ac:dyDescent="0.2">
      <c r="A139" s="116"/>
      <c r="B139" s="521"/>
      <c r="C139" s="522"/>
      <c r="D139" s="522"/>
      <c r="E139" s="522"/>
      <c r="F139" s="522"/>
      <c r="G139" s="523"/>
      <c r="H139" s="112"/>
      <c r="I139" s="113"/>
      <c r="J139" s="749"/>
      <c r="K139" s="752"/>
      <c r="L139" s="540"/>
      <c r="M139" s="458"/>
      <c r="N139" s="457"/>
      <c r="O139" s="458"/>
      <c r="P139" s="457"/>
      <c r="Q139" s="458"/>
      <c r="R139" s="457"/>
      <c r="S139" s="458"/>
      <c r="T139" s="608" t="s">
        <v>66</v>
      </c>
      <c r="U139" s="609"/>
      <c r="W139" s="1086"/>
      <c r="X139" s="1087"/>
    </row>
    <row r="140" spans="1:32" ht="15" customHeight="1" x14ac:dyDescent="0.2">
      <c r="A140" s="116"/>
      <c r="B140" s="357"/>
      <c r="C140" s="358"/>
      <c r="D140" s="358"/>
      <c r="E140" s="358"/>
      <c r="F140" s="358"/>
      <c r="G140" s="541"/>
      <c r="H140" s="114"/>
      <c r="I140" s="113"/>
      <c r="J140" s="749"/>
      <c r="K140" s="752"/>
      <c r="L140" s="524"/>
      <c r="M140" s="525"/>
      <c r="N140" s="539"/>
      <c r="O140" s="525"/>
      <c r="P140" s="539"/>
      <c r="Q140" s="525"/>
      <c r="R140" s="539"/>
      <c r="S140" s="525"/>
      <c r="T140" s="610" t="s">
        <v>67</v>
      </c>
      <c r="U140" s="611"/>
      <c r="W140" s="1086"/>
      <c r="X140" s="1087"/>
    </row>
    <row r="141" spans="1:32" ht="15" customHeight="1" x14ac:dyDescent="0.2">
      <c r="A141" s="116"/>
      <c r="B141" s="505"/>
      <c r="C141" s="506"/>
      <c r="D141" s="506"/>
      <c r="E141" s="506"/>
      <c r="F141" s="506"/>
      <c r="G141" s="507"/>
      <c r="H141" s="114"/>
      <c r="I141" s="113"/>
      <c r="J141" s="749"/>
      <c r="K141" s="752"/>
      <c r="L141" s="179" t="s">
        <v>21</v>
      </c>
      <c r="M141" s="179" t="s">
        <v>753</v>
      </c>
      <c r="N141" s="179" t="s">
        <v>760</v>
      </c>
      <c r="O141" s="179" t="s">
        <v>776</v>
      </c>
      <c r="P141" s="179" t="s">
        <v>761</v>
      </c>
      <c r="Q141" s="179" t="s">
        <v>762</v>
      </c>
      <c r="R141" s="179" t="s">
        <v>1315</v>
      </c>
      <c r="S141" s="179" t="s">
        <v>1316</v>
      </c>
      <c r="T141" s="179" t="s">
        <v>1317</v>
      </c>
      <c r="U141" s="162" t="s">
        <v>25</v>
      </c>
      <c r="W141" s="1086"/>
      <c r="X141" s="1087"/>
    </row>
    <row r="142" spans="1:32" ht="15" customHeight="1" x14ac:dyDescent="0.2">
      <c r="A142" s="116"/>
      <c r="B142" s="505"/>
      <c r="C142" s="506"/>
      <c r="D142" s="506"/>
      <c r="E142" s="506"/>
      <c r="F142" s="506"/>
      <c r="G142" s="507"/>
      <c r="H142" s="114"/>
      <c r="I142" s="113"/>
      <c r="J142" s="749"/>
      <c r="K142" s="752"/>
      <c r="L142" s="1100"/>
      <c r="M142" s="1102"/>
      <c r="N142" s="1102"/>
      <c r="O142" s="1102"/>
      <c r="P142" s="1102"/>
      <c r="Q142" s="1102"/>
      <c r="R142" s="1102"/>
      <c r="S142" s="1102"/>
      <c r="T142" s="1102"/>
      <c r="U142" s="761" t="s">
        <v>44</v>
      </c>
      <c r="W142" s="1086"/>
      <c r="X142" s="1087"/>
    </row>
    <row r="143" spans="1:32" ht="15" customHeight="1" thickBot="1" x14ac:dyDescent="0.25">
      <c r="A143" s="116"/>
      <c r="B143" s="451"/>
      <c r="C143" s="452"/>
      <c r="D143" s="452"/>
      <c r="E143" s="452"/>
      <c r="F143" s="452"/>
      <c r="G143" s="453"/>
      <c r="H143" s="117"/>
      <c r="I143" s="118"/>
      <c r="J143" s="750"/>
      <c r="K143" s="753"/>
      <c r="L143" s="1101"/>
      <c r="M143" s="1103"/>
      <c r="N143" s="1103"/>
      <c r="O143" s="1103"/>
      <c r="P143" s="1103"/>
      <c r="Q143" s="1103"/>
      <c r="R143" s="1103"/>
      <c r="S143" s="1103"/>
      <c r="T143" s="1103"/>
      <c r="U143" s="760"/>
      <c r="W143" s="1086"/>
      <c r="X143" s="1087"/>
    </row>
    <row r="144" spans="1:32" ht="15" customHeight="1" x14ac:dyDescent="0.2">
      <c r="A144" s="116"/>
      <c r="B144" s="435" t="s">
        <v>746</v>
      </c>
      <c r="C144" s="436"/>
      <c r="D144" s="436"/>
      <c r="E144" s="436"/>
      <c r="F144" s="436"/>
      <c r="G144" s="437"/>
      <c r="H144" s="110" t="s">
        <v>745</v>
      </c>
      <c r="I144" s="219" t="s">
        <v>674</v>
      </c>
      <c r="J144" s="248"/>
      <c r="K144" s="249"/>
      <c r="L144" s="1156" t="s">
        <v>675</v>
      </c>
      <c r="M144" s="441"/>
      <c r="N144" s="440"/>
      <c r="O144" s="441"/>
      <c r="P144" s="440"/>
      <c r="Q144" s="441"/>
      <c r="R144" s="440"/>
      <c r="S144" s="441"/>
      <c r="T144" s="440"/>
      <c r="U144" s="442"/>
      <c r="W144" s="886" t="s">
        <v>612</v>
      </c>
      <c r="X144" s="857"/>
      <c r="Y144" s="857"/>
      <c r="Z144" s="887"/>
    </row>
    <row r="145" spans="1:26" ht="15" customHeight="1" x14ac:dyDescent="0.2">
      <c r="A145" s="116"/>
      <c r="B145" s="1153" t="s">
        <v>749</v>
      </c>
      <c r="C145" s="1154"/>
      <c r="D145" s="1154"/>
      <c r="E145" s="1154"/>
      <c r="F145" s="1154"/>
      <c r="G145" s="1155"/>
      <c r="H145" s="123"/>
      <c r="I145" s="124"/>
      <c r="J145" s="250"/>
      <c r="K145" s="251"/>
      <c r="L145" s="179" t="s">
        <v>21</v>
      </c>
      <c r="M145" s="179" t="s">
        <v>753</v>
      </c>
      <c r="N145" s="179" t="s">
        <v>760</v>
      </c>
      <c r="O145" s="179" t="s">
        <v>776</v>
      </c>
      <c r="P145" s="179" t="s">
        <v>761</v>
      </c>
      <c r="Q145" s="179" t="s">
        <v>762</v>
      </c>
      <c r="R145" s="179" t="s">
        <v>1315</v>
      </c>
      <c r="S145" s="179" t="s">
        <v>1316</v>
      </c>
      <c r="T145" s="179" t="s">
        <v>1317</v>
      </c>
      <c r="U145" s="180" t="s">
        <v>25</v>
      </c>
      <c r="W145" s="888"/>
      <c r="X145" s="858"/>
      <c r="Y145" s="858"/>
      <c r="Z145" s="889"/>
    </row>
    <row r="146" spans="1:26" ht="15" customHeight="1" thickBot="1" x14ac:dyDescent="0.25">
      <c r="A146" s="116"/>
      <c r="B146" s="580"/>
      <c r="C146" s="581"/>
      <c r="D146" s="581"/>
      <c r="E146" s="581"/>
      <c r="F146" s="581"/>
      <c r="G146" s="582"/>
      <c r="H146" s="181"/>
      <c r="I146" s="222"/>
      <c r="J146" s="252"/>
      <c r="K146" s="253"/>
      <c r="L146" s="130"/>
      <c r="M146" s="131"/>
      <c r="N146" s="131"/>
      <c r="O146" s="131"/>
      <c r="P146" s="131"/>
      <c r="Q146" s="131"/>
      <c r="R146" s="131"/>
      <c r="S146" s="131"/>
      <c r="T146" s="131"/>
      <c r="U146" s="132" t="s">
        <v>125</v>
      </c>
      <c r="W146" s="888"/>
      <c r="X146" s="858"/>
      <c r="Y146" s="858"/>
      <c r="Z146" s="889"/>
    </row>
    <row r="147" spans="1:26" ht="15" customHeight="1" x14ac:dyDescent="0.2">
      <c r="A147" s="116"/>
      <c r="B147" s="1112" t="s">
        <v>748</v>
      </c>
      <c r="C147" s="1113"/>
      <c r="D147" s="1113"/>
      <c r="E147" s="1113"/>
      <c r="F147" s="1113"/>
      <c r="G147" s="1114"/>
      <c r="H147" s="225" t="s">
        <v>712</v>
      </c>
      <c r="I147" s="223" t="s">
        <v>10</v>
      </c>
      <c r="J147" s="248"/>
      <c r="K147" s="249"/>
      <c r="L147" s="906" t="s">
        <v>750</v>
      </c>
      <c r="M147" s="907"/>
      <c r="N147" s="440"/>
      <c r="O147" s="441"/>
      <c r="P147" s="440"/>
      <c r="Q147" s="441"/>
      <c r="R147" s="440"/>
      <c r="S147" s="441"/>
      <c r="T147" s="440"/>
      <c r="U147" s="442"/>
      <c r="W147" s="888"/>
      <c r="X147" s="858"/>
      <c r="Y147" s="858"/>
      <c r="Z147" s="889"/>
    </row>
    <row r="148" spans="1:26" ht="15" customHeight="1" x14ac:dyDescent="0.2">
      <c r="A148" s="116"/>
      <c r="B148" s="518" t="s">
        <v>139</v>
      </c>
      <c r="C148" s="519"/>
      <c r="D148" s="519"/>
      <c r="E148" s="519"/>
      <c r="F148" s="519"/>
      <c r="G148" s="520"/>
      <c r="H148" s="123"/>
      <c r="I148" s="124"/>
      <c r="J148" s="250"/>
      <c r="K148" s="251"/>
      <c r="L148" s="179" t="s">
        <v>21</v>
      </c>
      <c r="M148" s="179" t="s">
        <v>753</v>
      </c>
      <c r="N148" s="179" t="s">
        <v>760</v>
      </c>
      <c r="O148" s="179" t="s">
        <v>776</v>
      </c>
      <c r="P148" s="179" t="s">
        <v>761</v>
      </c>
      <c r="Q148" s="179" t="s">
        <v>762</v>
      </c>
      <c r="R148" s="179" t="s">
        <v>1315</v>
      </c>
      <c r="S148" s="179" t="s">
        <v>1316</v>
      </c>
      <c r="T148" s="179" t="s">
        <v>1317</v>
      </c>
      <c r="U148" s="180" t="s">
        <v>25</v>
      </c>
      <c r="W148" s="888"/>
      <c r="X148" s="858"/>
      <c r="Y148" s="858"/>
      <c r="Z148" s="889"/>
    </row>
    <row r="149" spans="1:26" ht="15" customHeight="1" thickBot="1" x14ac:dyDescent="0.25">
      <c r="A149" s="116"/>
      <c r="B149" s="459" t="s">
        <v>138</v>
      </c>
      <c r="C149" s="460"/>
      <c r="D149" s="460"/>
      <c r="E149" s="460"/>
      <c r="F149" s="460"/>
      <c r="G149" s="461"/>
      <c r="H149" s="128"/>
      <c r="I149" s="129"/>
      <c r="J149" s="252"/>
      <c r="K149" s="253"/>
      <c r="L149" s="130"/>
      <c r="M149" s="131"/>
      <c r="N149" s="131"/>
      <c r="O149" s="131"/>
      <c r="P149" s="131"/>
      <c r="Q149" s="131"/>
      <c r="R149" s="131"/>
      <c r="S149" s="131"/>
      <c r="T149" s="131"/>
      <c r="U149" s="132" t="s">
        <v>125</v>
      </c>
      <c r="W149" s="1129"/>
      <c r="X149" s="1130"/>
      <c r="Y149" s="1130"/>
      <c r="Z149" s="1131"/>
    </row>
    <row r="150" spans="1:26" ht="15" customHeight="1" x14ac:dyDescent="0.2">
      <c r="A150" s="116"/>
      <c r="B150" s="559" t="s">
        <v>676</v>
      </c>
      <c r="C150" s="560"/>
      <c r="D150" s="560"/>
      <c r="E150" s="560"/>
      <c r="F150" s="560"/>
      <c r="G150" s="561"/>
      <c r="H150" s="185"/>
      <c r="I150" s="134" t="s">
        <v>135</v>
      </c>
      <c r="J150" s="255"/>
      <c r="K150" s="256"/>
      <c r="L150" s="198"/>
      <c r="M150" s="193"/>
      <c r="N150" s="193"/>
      <c r="O150" s="193"/>
      <c r="P150" s="193"/>
      <c r="Q150" s="193"/>
      <c r="R150" s="193"/>
      <c r="S150" s="193"/>
      <c r="T150" s="193"/>
      <c r="U150" s="221" t="s">
        <v>125</v>
      </c>
      <c r="W150" s="859" t="s">
        <v>756</v>
      </c>
      <c r="X150" s="860"/>
      <c r="Y150" s="860"/>
      <c r="Z150" s="861"/>
    </row>
    <row r="151" spans="1:26" ht="15" customHeight="1" x14ac:dyDescent="0.2">
      <c r="A151" s="116"/>
      <c r="B151" s="562" t="s">
        <v>131</v>
      </c>
      <c r="C151" s="563"/>
      <c r="D151" s="563"/>
      <c r="E151" s="563"/>
      <c r="F151" s="563"/>
      <c r="G151" s="564"/>
      <c r="H151" s="66"/>
      <c r="I151" s="135" t="s">
        <v>136</v>
      </c>
      <c r="J151" s="257"/>
      <c r="K151" s="258"/>
      <c r="L151" s="199"/>
      <c r="M151" s="186"/>
      <c r="N151" s="186"/>
      <c r="O151" s="186"/>
      <c r="P151" s="186"/>
      <c r="Q151" s="186"/>
      <c r="R151" s="186"/>
      <c r="S151" s="186"/>
      <c r="T151" s="128"/>
      <c r="U151" s="204" t="s">
        <v>125</v>
      </c>
      <c r="W151" s="862"/>
      <c r="X151" s="863"/>
      <c r="Y151" s="863"/>
      <c r="Z151" s="864"/>
    </row>
    <row r="152" spans="1:26" ht="15" customHeight="1" x14ac:dyDescent="0.2">
      <c r="A152" s="116"/>
      <c r="B152" s="562" t="s">
        <v>132</v>
      </c>
      <c r="C152" s="563"/>
      <c r="D152" s="563"/>
      <c r="E152" s="563"/>
      <c r="F152" s="563"/>
      <c r="G152" s="564"/>
      <c r="H152" s="66"/>
      <c r="I152" s="135" t="s">
        <v>137</v>
      </c>
      <c r="J152" s="257"/>
      <c r="K152" s="258"/>
      <c r="L152" s="199"/>
      <c r="M152" s="186"/>
      <c r="N152" s="186"/>
      <c r="O152" s="186"/>
      <c r="P152" s="186"/>
      <c r="Q152" s="186"/>
      <c r="R152" s="186"/>
      <c r="S152" s="186"/>
      <c r="T152" s="128"/>
      <c r="U152" s="204" t="s">
        <v>125</v>
      </c>
      <c r="W152" s="862"/>
      <c r="X152" s="863"/>
      <c r="Y152" s="863"/>
      <c r="Z152" s="864"/>
    </row>
    <row r="153" spans="1:26" ht="15" customHeight="1" x14ac:dyDescent="0.2">
      <c r="A153" s="116"/>
      <c r="B153" s="627" t="s">
        <v>133</v>
      </c>
      <c r="C153" s="628"/>
      <c r="D153" s="628"/>
      <c r="E153" s="628"/>
      <c r="F153" s="628"/>
      <c r="G153" s="629"/>
      <c r="H153" s="136"/>
      <c r="I153" s="137" t="s">
        <v>135</v>
      </c>
      <c r="J153" s="257"/>
      <c r="K153" s="258"/>
      <c r="L153" s="199"/>
      <c r="M153" s="186"/>
      <c r="N153" s="186"/>
      <c r="O153" s="186"/>
      <c r="P153" s="186"/>
      <c r="Q153" s="186"/>
      <c r="R153" s="186"/>
      <c r="S153" s="186"/>
      <c r="T153" s="128"/>
      <c r="U153" s="204" t="s">
        <v>125</v>
      </c>
      <c r="W153" s="862"/>
      <c r="X153" s="863"/>
      <c r="Y153" s="863"/>
      <c r="Z153" s="864"/>
    </row>
    <row r="154" spans="1:26" ht="15" customHeight="1" thickBot="1" x14ac:dyDescent="0.25">
      <c r="A154" s="116"/>
      <c r="B154" s="1104" t="s">
        <v>134</v>
      </c>
      <c r="C154" s="1105"/>
      <c r="D154" s="1105"/>
      <c r="E154" s="1105"/>
      <c r="F154" s="1105"/>
      <c r="G154" s="1106"/>
      <c r="H154" s="60"/>
      <c r="I154" s="78" t="s">
        <v>136</v>
      </c>
      <c r="J154" s="250"/>
      <c r="K154" s="259"/>
      <c r="L154" s="200"/>
      <c r="M154" s="196"/>
      <c r="N154" s="196"/>
      <c r="O154" s="196"/>
      <c r="P154" s="196"/>
      <c r="Q154" s="196"/>
      <c r="R154" s="196"/>
      <c r="S154" s="196"/>
      <c r="T154" s="123"/>
      <c r="U154" s="205" t="s">
        <v>125</v>
      </c>
      <c r="W154" s="865"/>
      <c r="X154" s="866"/>
      <c r="Y154" s="866"/>
      <c r="Z154" s="867"/>
    </row>
    <row r="155" spans="1:26" x14ac:dyDescent="0.2">
      <c r="B155" s="462" t="s">
        <v>700</v>
      </c>
      <c r="C155" s="463"/>
      <c r="D155" s="463"/>
      <c r="E155" s="463"/>
      <c r="F155" s="463"/>
      <c r="G155" s="464"/>
      <c r="H155" s="139"/>
      <c r="I155" s="140" t="s">
        <v>701</v>
      </c>
      <c r="J155" s="246" t="s">
        <v>21</v>
      </c>
      <c r="K155" s="260">
        <v>1</v>
      </c>
      <c r="L155" s="674"/>
      <c r="M155" s="675"/>
      <c r="N155" s="675"/>
      <c r="O155" s="675"/>
      <c r="P155" s="675"/>
      <c r="Q155" s="675"/>
      <c r="R155" s="675"/>
      <c r="S155" s="675"/>
      <c r="T155" s="675"/>
      <c r="U155" s="676"/>
    </row>
    <row r="156" spans="1:26" x14ac:dyDescent="0.2">
      <c r="B156" s="1107" t="s">
        <v>702</v>
      </c>
      <c r="C156" s="1108"/>
      <c r="D156" s="1108"/>
      <c r="E156" s="1108"/>
      <c r="F156" s="1108"/>
      <c r="G156" s="1108"/>
      <c r="H156" s="197"/>
      <c r="I156" s="224" t="s">
        <v>703</v>
      </c>
      <c r="J156" s="261" t="s">
        <v>21</v>
      </c>
      <c r="K156" s="262">
        <v>1</v>
      </c>
      <c r="L156" s="1109"/>
      <c r="M156" s="1110"/>
      <c r="N156" s="1110"/>
      <c r="O156" s="1110"/>
      <c r="P156" s="1110"/>
      <c r="Q156" s="1110"/>
      <c r="R156" s="1110"/>
      <c r="S156" s="1110"/>
      <c r="T156" s="1110"/>
      <c r="U156" s="1111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</mergeCells>
  <conditionalFormatting sqref="K6 K8 K14 K16">
    <cfRule type="notContainsBlanks" dxfId="258" priority="175">
      <formula>LEN(TRIM(K6))&gt;0</formula>
    </cfRule>
  </conditionalFormatting>
  <conditionalFormatting sqref="J6 J8 J14 J16">
    <cfRule type="notContainsBlanks" dxfId="257" priority="174">
      <formula>LEN(TRIM(J6))&gt;0</formula>
    </cfRule>
  </conditionalFormatting>
  <conditionalFormatting sqref="K10">
    <cfRule type="notContainsBlanks" dxfId="256" priority="173">
      <formula>LEN(TRIM(K10))&gt;0</formula>
    </cfRule>
  </conditionalFormatting>
  <conditionalFormatting sqref="J10">
    <cfRule type="notContainsBlanks" dxfId="255" priority="172">
      <formula>LEN(TRIM(J10))&gt;0</formula>
    </cfRule>
  </conditionalFormatting>
  <conditionalFormatting sqref="K12">
    <cfRule type="notContainsBlanks" dxfId="254" priority="171">
      <formula>LEN(TRIM(K12))&gt;0</formula>
    </cfRule>
  </conditionalFormatting>
  <conditionalFormatting sqref="J12">
    <cfRule type="notContainsBlanks" dxfId="253" priority="170">
      <formula>LEN(TRIM(J12))&gt;0</formula>
    </cfRule>
  </conditionalFormatting>
  <conditionalFormatting sqref="B36:F37 I36:J37">
    <cfRule type="cellIs" dxfId="252" priority="169" operator="between">
      <formula>0</formula>
      <formula>0.0000000001</formula>
    </cfRule>
  </conditionalFormatting>
  <conditionalFormatting sqref="B24:F25">
    <cfRule type="cellIs" dxfId="251" priority="168" operator="between">
      <formula>0</formula>
      <formula>0.0000000001</formula>
    </cfRule>
  </conditionalFormatting>
  <conditionalFormatting sqref="B26:F26">
    <cfRule type="cellIs" dxfId="250" priority="167" operator="between">
      <formula>0</formula>
      <formula>0.0000000001</formula>
    </cfRule>
  </conditionalFormatting>
  <conditionalFormatting sqref="B28:F28">
    <cfRule type="cellIs" dxfId="249" priority="166" operator="between">
      <formula>0</formula>
      <formula>0.0000000001</formula>
    </cfRule>
  </conditionalFormatting>
  <conditionalFormatting sqref="B34:F35 I34:J35">
    <cfRule type="cellIs" dxfId="248" priority="165" operator="between">
      <formula>0</formula>
      <formula>0.0000000001</formula>
    </cfRule>
  </conditionalFormatting>
  <conditionalFormatting sqref="B30:F30">
    <cfRule type="cellIs" dxfId="247" priority="164" operator="between">
      <formula>0</formula>
      <formula>0.0000000001</formula>
    </cfRule>
  </conditionalFormatting>
  <conditionalFormatting sqref="B38:F38 I38:J39">
    <cfRule type="cellIs" dxfId="246" priority="163" operator="between">
      <formula>0</formula>
      <formula>0.0000000001</formula>
    </cfRule>
  </conditionalFormatting>
  <conditionalFormatting sqref="B40:F40 H41:J41 I40:J40">
    <cfRule type="cellIs" dxfId="245" priority="162" operator="between">
      <formula>0</formula>
      <formula>0.0000000001</formula>
    </cfRule>
  </conditionalFormatting>
  <conditionalFormatting sqref="L44">
    <cfRule type="notContainsBlanks" dxfId="244" priority="161">
      <formula>LEN(TRIM(L44))&gt;0</formula>
    </cfRule>
  </conditionalFormatting>
  <conditionalFormatting sqref="M44">
    <cfRule type="notContainsBlanks" dxfId="243" priority="160">
      <formula>LEN(TRIM(M44))&gt;0</formula>
    </cfRule>
  </conditionalFormatting>
  <conditionalFormatting sqref="N44">
    <cfRule type="notContainsBlanks" dxfId="242" priority="159">
      <formula>LEN(TRIM(N44))&gt;0</formula>
    </cfRule>
  </conditionalFormatting>
  <conditionalFormatting sqref="T48">
    <cfRule type="notContainsBlanks" dxfId="241" priority="146">
      <formula>LEN(TRIM(T48))&gt;0</formula>
    </cfRule>
  </conditionalFormatting>
  <conditionalFormatting sqref="P44">
    <cfRule type="notContainsBlanks" dxfId="240" priority="158">
      <formula>LEN(TRIM(P44))&gt;0</formula>
    </cfRule>
  </conditionalFormatting>
  <conditionalFormatting sqref="Q44">
    <cfRule type="notContainsBlanks" dxfId="239" priority="157">
      <formula>LEN(TRIM(Q44))&gt;0</formula>
    </cfRule>
  </conditionalFormatting>
  <conditionalFormatting sqref="R44">
    <cfRule type="notContainsBlanks" dxfId="238" priority="156">
      <formula>LEN(TRIM(R44))&gt;0</formula>
    </cfRule>
  </conditionalFormatting>
  <conditionalFormatting sqref="S44">
    <cfRule type="notContainsBlanks" dxfId="237" priority="155">
      <formula>LEN(TRIM(S44))&gt;0</formula>
    </cfRule>
  </conditionalFormatting>
  <conditionalFormatting sqref="T44">
    <cfRule type="notContainsBlanks" dxfId="236" priority="154">
      <formula>LEN(TRIM(T44))&gt;0</formula>
    </cfRule>
  </conditionalFormatting>
  <conditionalFormatting sqref="L48">
    <cfRule type="notContainsBlanks" dxfId="235" priority="153">
      <formula>LEN(TRIM(L48))&gt;0</formula>
    </cfRule>
  </conditionalFormatting>
  <conditionalFormatting sqref="M48">
    <cfRule type="notContainsBlanks" dxfId="234" priority="152">
      <formula>LEN(TRIM(M48))&gt;0</formula>
    </cfRule>
  </conditionalFormatting>
  <conditionalFormatting sqref="N48">
    <cfRule type="notContainsBlanks" dxfId="233" priority="151">
      <formula>LEN(TRIM(N48))&gt;0</formula>
    </cfRule>
  </conditionalFormatting>
  <conditionalFormatting sqref="P48">
    <cfRule type="notContainsBlanks" dxfId="232" priority="150">
      <formula>LEN(TRIM(P48))&gt;0</formula>
    </cfRule>
  </conditionalFormatting>
  <conditionalFormatting sqref="Q48">
    <cfRule type="notContainsBlanks" dxfId="231" priority="149">
      <formula>LEN(TRIM(Q48))&gt;0</formula>
    </cfRule>
  </conditionalFormatting>
  <conditionalFormatting sqref="R48">
    <cfRule type="notContainsBlanks" dxfId="230" priority="148">
      <formula>LEN(TRIM(R48))&gt;0</formula>
    </cfRule>
  </conditionalFormatting>
  <conditionalFormatting sqref="S48">
    <cfRule type="notContainsBlanks" dxfId="229" priority="147">
      <formula>LEN(TRIM(S48))&gt;0</formula>
    </cfRule>
  </conditionalFormatting>
  <conditionalFormatting sqref="L68">
    <cfRule type="expression" dxfId="228" priority="145">
      <formula>$L$68=""</formula>
    </cfRule>
  </conditionalFormatting>
  <conditionalFormatting sqref="M68">
    <cfRule type="expression" dxfId="227" priority="143">
      <formula>$M$68=""</formula>
    </cfRule>
  </conditionalFormatting>
  <conditionalFormatting sqref="N68">
    <cfRule type="expression" dxfId="226" priority="144">
      <formula>$N$68=""</formula>
    </cfRule>
  </conditionalFormatting>
  <conditionalFormatting sqref="O68">
    <cfRule type="expression" dxfId="225" priority="142">
      <formula>$O$68=""</formula>
    </cfRule>
  </conditionalFormatting>
  <conditionalFormatting sqref="P68">
    <cfRule type="expression" dxfId="224" priority="141">
      <formula>$P$68=""</formula>
    </cfRule>
  </conditionalFormatting>
  <conditionalFormatting sqref="Q68">
    <cfRule type="expression" dxfId="223" priority="140">
      <formula>$Q$68=""</formula>
    </cfRule>
  </conditionalFormatting>
  <conditionalFormatting sqref="R68">
    <cfRule type="expression" dxfId="222" priority="139">
      <formula>$R$68=""</formula>
    </cfRule>
  </conditionalFormatting>
  <conditionalFormatting sqref="S68">
    <cfRule type="expression" dxfId="221" priority="138">
      <formula>$S$68=""</formula>
    </cfRule>
  </conditionalFormatting>
  <conditionalFormatting sqref="T68">
    <cfRule type="expression" dxfId="220" priority="137">
      <formula>$T$68=""</formula>
    </cfRule>
  </conditionalFormatting>
  <conditionalFormatting sqref="L72">
    <cfRule type="expression" dxfId="219" priority="136">
      <formula>$L$72=""</formula>
    </cfRule>
  </conditionalFormatting>
  <conditionalFormatting sqref="M72">
    <cfRule type="expression" dxfId="218" priority="135">
      <formula>$M$72=""</formula>
    </cfRule>
  </conditionalFormatting>
  <conditionalFormatting sqref="N72">
    <cfRule type="expression" dxfId="217" priority="134">
      <formula>$N$72=""</formula>
    </cfRule>
  </conditionalFormatting>
  <conditionalFormatting sqref="O72">
    <cfRule type="expression" dxfId="216" priority="133">
      <formula>$O$72=""</formula>
    </cfRule>
  </conditionalFormatting>
  <conditionalFormatting sqref="P72">
    <cfRule type="expression" dxfId="215" priority="132">
      <formula>$P$72=""</formula>
    </cfRule>
  </conditionalFormatting>
  <conditionalFormatting sqref="Q72">
    <cfRule type="expression" dxfId="214" priority="131">
      <formula>$Q$72=""</formula>
    </cfRule>
  </conditionalFormatting>
  <conditionalFormatting sqref="R72">
    <cfRule type="expression" dxfId="213" priority="130">
      <formula>$R$72=""</formula>
    </cfRule>
  </conditionalFormatting>
  <conditionalFormatting sqref="S72">
    <cfRule type="expression" dxfId="212" priority="129">
      <formula>$S$72=""</formula>
    </cfRule>
  </conditionalFormatting>
  <conditionalFormatting sqref="L76">
    <cfRule type="expression" dxfId="211" priority="128">
      <formula>$L$76=""</formula>
    </cfRule>
  </conditionalFormatting>
  <conditionalFormatting sqref="M76">
    <cfRule type="expression" dxfId="210" priority="127">
      <formula>$M$76=""</formula>
    </cfRule>
  </conditionalFormatting>
  <conditionalFormatting sqref="N76">
    <cfRule type="expression" dxfId="209" priority="126">
      <formula>$N$76=""</formula>
    </cfRule>
  </conditionalFormatting>
  <conditionalFormatting sqref="O76">
    <cfRule type="expression" dxfId="208" priority="125">
      <formula>$O$76=""</formula>
    </cfRule>
  </conditionalFormatting>
  <conditionalFormatting sqref="P76">
    <cfRule type="expression" dxfId="207" priority="124">
      <formula>$P$76=""</formula>
    </cfRule>
  </conditionalFormatting>
  <conditionalFormatting sqref="Q76">
    <cfRule type="expression" dxfId="206" priority="123">
      <formula>$Q$76=""</formula>
    </cfRule>
  </conditionalFormatting>
  <conditionalFormatting sqref="R76">
    <cfRule type="expression" dxfId="205" priority="122">
      <formula>$R$76=""</formula>
    </cfRule>
  </conditionalFormatting>
  <conditionalFormatting sqref="S76">
    <cfRule type="expression" dxfId="204" priority="121">
      <formula>$S$76=""</formula>
    </cfRule>
  </conditionalFormatting>
  <conditionalFormatting sqref="T76">
    <cfRule type="expression" dxfId="203" priority="120">
      <formula>$T$76=""</formula>
    </cfRule>
  </conditionalFormatting>
  <conditionalFormatting sqref="L80">
    <cfRule type="expression" dxfId="202" priority="119">
      <formula>$L$80=""</formula>
    </cfRule>
  </conditionalFormatting>
  <conditionalFormatting sqref="M80">
    <cfRule type="expression" dxfId="201" priority="118">
      <formula>$M$80=""</formula>
    </cfRule>
  </conditionalFormatting>
  <conditionalFormatting sqref="N80">
    <cfRule type="expression" dxfId="200" priority="117">
      <formula>$N$80=""</formula>
    </cfRule>
  </conditionalFormatting>
  <conditionalFormatting sqref="O80">
    <cfRule type="expression" dxfId="199" priority="116">
      <formula>$O$80=""</formula>
    </cfRule>
  </conditionalFormatting>
  <conditionalFormatting sqref="P80">
    <cfRule type="expression" dxfId="198" priority="115">
      <formula>$P$80=""</formula>
    </cfRule>
  </conditionalFormatting>
  <conditionalFormatting sqref="Q80">
    <cfRule type="expression" dxfId="197" priority="114">
      <formula>$Q$80=""</formula>
    </cfRule>
  </conditionalFormatting>
  <conditionalFormatting sqref="R80">
    <cfRule type="expression" dxfId="196" priority="113">
      <formula>$R$80=""</formula>
    </cfRule>
  </conditionalFormatting>
  <conditionalFormatting sqref="S80">
    <cfRule type="expression" dxfId="195" priority="112">
      <formula>$S$80=""</formula>
    </cfRule>
  </conditionalFormatting>
  <conditionalFormatting sqref="T80">
    <cfRule type="expression" dxfId="194" priority="111">
      <formula>$T$80=""</formula>
    </cfRule>
  </conditionalFormatting>
  <conditionalFormatting sqref="L84">
    <cfRule type="expression" dxfId="193" priority="110">
      <formula>$L$84=""</formula>
    </cfRule>
  </conditionalFormatting>
  <conditionalFormatting sqref="M84">
    <cfRule type="expression" dxfId="192" priority="109">
      <formula>$M$84=""</formula>
    </cfRule>
  </conditionalFormatting>
  <conditionalFormatting sqref="N84">
    <cfRule type="expression" dxfId="191" priority="108">
      <formula>$N$84=""</formula>
    </cfRule>
  </conditionalFormatting>
  <conditionalFormatting sqref="O84">
    <cfRule type="expression" dxfId="190" priority="107">
      <formula>$O$84=""</formula>
    </cfRule>
  </conditionalFormatting>
  <conditionalFormatting sqref="P84">
    <cfRule type="expression" dxfId="189" priority="106">
      <formula>$P$84=""</formula>
    </cfRule>
  </conditionalFormatting>
  <conditionalFormatting sqref="Q84">
    <cfRule type="expression" dxfId="188" priority="105">
      <formula>$Q$84=""</formula>
    </cfRule>
  </conditionalFormatting>
  <conditionalFormatting sqref="R84">
    <cfRule type="expression" dxfId="187" priority="104">
      <formula>$R$84=""</formula>
    </cfRule>
  </conditionalFormatting>
  <conditionalFormatting sqref="S84">
    <cfRule type="expression" dxfId="186" priority="103">
      <formula>$S$84=""</formula>
    </cfRule>
  </conditionalFormatting>
  <conditionalFormatting sqref="T84">
    <cfRule type="expression" dxfId="185" priority="102">
      <formula>$T$84=""</formula>
    </cfRule>
  </conditionalFormatting>
  <conditionalFormatting sqref="L88">
    <cfRule type="expression" dxfId="184" priority="101">
      <formula>$L$88=""</formula>
    </cfRule>
  </conditionalFormatting>
  <conditionalFormatting sqref="M88">
    <cfRule type="expression" dxfId="183" priority="100">
      <formula>$M$88=""</formula>
    </cfRule>
  </conditionalFormatting>
  <conditionalFormatting sqref="N88">
    <cfRule type="expression" dxfId="182" priority="99">
      <formula>$N$88=""</formula>
    </cfRule>
  </conditionalFormatting>
  <conditionalFormatting sqref="O88">
    <cfRule type="expression" dxfId="181" priority="98">
      <formula>$O$88=""</formula>
    </cfRule>
  </conditionalFormatting>
  <conditionalFormatting sqref="P88">
    <cfRule type="expression" dxfId="180" priority="97">
      <formula>$P$88=""</formula>
    </cfRule>
  </conditionalFormatting>
  <conditionalFormatting sqref="Q88">
    <cfRule type="expression" dxfId="179" priority="96">
      <formula>$Q$88=""</formula>
    </cfRule>
  </conditionalFormatting>
  <conditionalFormatting sqref="R88">
    <cfRule type="expression" dxfId="178" priority="95">
      <formula>$R$88=""</formula>
    </cfRule>
  </conditionalFormatting>
  <conditionalFormatting sqref="S88">
    <cfRule type="expression" dxfId="177" priority="94">
      <formula>$S$88=""</formula>
    </cfRule>
  </conditionalFormatting>
  <conditionalFormatting sqref="T88">
    <cfRule type="expression" dxfId="176" priority="93">
      <formula>$T$88=""</formula>
    </cfRule>
  </conditionalFormatting>
  <conditionalFormatting sqref="L18:M18">
    <cfRule type="expression" dxfId="175" priority="91">
      <formula>$L$18&lt;&gt;""</formula>
    </cfRule>
    <cfRule type="expression" dxfId="174" priority="92">
      <formula>$L$18=""</formula>
    </cfRule>
  </conditionalFormatting>
  <conditionalFormatting sqref="L19:M19">
    <cfRule type="expression" dxfId="173" priority="89">
      <formula>$L$19&lt;&gt;""</formula>
    </cfRule>
    <cfRule type="expression" dxfId="172" priority="90">
      <formula>$L$19=""</formula>
    </cfRule>
  </conditionalFormatting>
  <conditionalFormatting sqref="L20:M20">
    <cfRule type="expression" dxfId="171" priority="87">
      <formula>$L$20&lt;&gt;""</formula>
    </cfRule>
    <cfRule type="expression" dxfId="170" priority="88">
      <formula>$L$20=""</formula>
    </cfRule>
  </conditionalFormatting>
  <conditionalFormatting sqref="L21:M21">
    <cfRule type="expression" dxfId="169" priority="85">
      <formula>$L$21&lt;&gt;""</formula>
    </cfRule>
    <cfRule type="expression" dxfId="168" priority="86">
      <formula>$L$21=""</formula>
    </cfRule>
  </conditionalFormatting>
  <conditionalFormatting sqref="T72">
    <cfRule type="expression" dxfId="167" priority="84">
      <formula>$T$68=""</formula>
    </cfRule>
  </conditionalFormatting>
  <conditionalFormatting sqref="B32:F33 I32:J33">
    <cfRule type="cellIs" dxfId="166" priority="83" operator="between">
      <formula>0</formula>
      <formula>0.0000000001</formula>
    </cfRule>
  </conditionalFormatting>
  <conditionalFormatting sqref="T2:T3">
    <cfRule type="expression" dxfId="165" priority="79">
      <formula>$T$2=""</formula>
    </cfRule>
    <cfRule type="containsText" dxfId="164" priority="82" operator="containsText" text="#">
      <formula>NOT(ISERROR(SEARCH("#",T2)))</formula>
    </cfRule>
  </conditionalFormatting>
  <conditionalFormatting sqref="U2">
    <cfRule type="expression" dxfId="163" priority="80">
      <formula>$T$2=""</formula>
    </cfRule>
    <cfRule type="expression" dxfId="162" priority="81">
      <formula>$T$2="#"</formula>
    </cfRule>
  </conditionalFormatting>
  <conditionalFormatting sqref="H37">
    <cfRule type="cellIs" dxfId="161" priority="78" operator="between">
      <formula>0</formula>
      <formula>0.0000000001</formula>
    </cfRule>
  </conditionalFormatting>
  <conditionalFormatting sqref="H35">
    <cfRule type="cellIs" dxfId="160" priority="77" operator="between">
      <formula>0</formula>
      <formula>0.0000000001</formula>
    </cfRule>
  </conditionalFormatting>
  <conditionalFormatting sqref="H39">
    <cfRule type="cellIs" dxfId="159" priority="76" operator="between">
      <formula>0</formula>
      <formula>0.0000000001</formula>
    </cfRule>
  </conditionalFormatting>
  <conditionalFormatting sqref="H33">
    <cfRule type="cellIs" dxfId="158" priority="75" operator="between">
      <formula>0</formula>
      <formula>0.0000000001</formula>
    </cfRule>
  </conditionalFormatting>
  <conditionalFormatting sqref="L44">
    <cfRule type="notContainsBlanks" dxfId="157" priority="42">
      <formula>LEN(TRIM(L44))&gt;0</formula>
    </cfRule>
  </conditionalFormatting>
  <conditionalFormatting sqref="M44">
    <cfRule type="notContainsBlanks" dxfId="156" priority="41">
      <formula>LEN(TRIM(M44))&gt;0</formula>
    </cfRule>
  </conditionalFormatting>
  <conditionalFormatting sqref="N44">
    <cfRule type="notContainsBlanks" dxfId="155" priority="40">
      <formula>LEN(TRIM(N44))&gt;0</formula>
    </cfRule>
  </conditionalFormatting>
  <conditionalFormatting sqref="P48">
    <cfRule type="notContainsBlanks" dxfId="154" priority="38">
      <formula>LEN(TRIM(P48))&gt;0</formula>
    </cfRule>
  </conditionalFormatting>
  <conditionalFormatting sqref="Q48">
    <cfRule type="notContainsBlanks" dxfId="153" priority="37">
      <formula>LEN(TRIM(Q48))&gt;0</formula>
    </cfRule>
  </conditionalFormatting>
  <conditionalFormatting sqref="L60">
    <cfRule type="notContainsBlanks" dxfId="152" priority="58">
      <formula>LEN(TRIM(L60))&gt;0</formula>
    </cfRule>
  </conditionalFormatting>
  <conditionalFormatting sqref="M60">
    <cfRule type="notContainsBlanks" dxfId="151" priority="57">
      <formula>LEN(TRIM(M60))&gt;0</formula>
    </cfRule>
  </conditionalFormatting>
  <conditionalFormatting sqref="N60">
    <cfRule type="notContainsBlanks" dxfId="150" priority="56">
      <formula>LEN(TRIM(N60))&gt;0</formula>
    </cfRule>
  </conditionalFormatting>
  <conditionalFormatting sqref="N60:P60">
    <cfRule type="notContainsBlanks" dxfId="149" priority="55">
      <formula>LEN(TRIM(N60))&gt;0</formula>
    </cfRule>
  </conditionalFormatting>
  <conditionalFormatting sqref="Q60">
    <cfRule type="notContainsBlanks" dxfId="148" priority="54">
      <formula>LEN(TRIM(Q60))&gt;0</formula>
    </cfRule>
  </conditionalFormatting>
  <conditionalFormatting sqref="R60">
    <cfRule type="notContainsBlanks" dxfId="147" priority="53">
      <formula>LEN(TRIM(R60))&gt;0</formula>
    </cfRule>
  </conditionalFormatting>
  <conditionalFormatting sqref="S60">
    <cfRule type="notContainsBlanks" dxfId="146" priority="52">
      <formula>LEN(TRIM(S60))&gt;0</formula>
    </cfRule>
  </conditionalFormatting>
  <conditionalFormatting sqref="T60">
    <cfRule type="notContainsBlanks" dxfId="145" priority="51">
      <formula>LEN(TRIM(T60))&gt;0</formula>
    </cfRule>
  </conditionalFormatting>
  <conditionalFormatting sqref="S60">
    <cfRule type="notContainsBlanks" dxfId="144" priority="5">
      <formula>LEN(TRIM(S60))&gt;0</formula>
    </cfRule>
  </conditionalFormatting>
  <conditionalFormatting sqref="S48">
    <cfRule type="notContainsBlanks" dxfId="143" priority="35">
      <formula>LEN(TRIM(S48))&gt;0</formula>
    </cfRule>
  </conditionalFormatting>
  <conditionalFormatting sqref="R48">
    <cfRule type="notContainsBlanks" dxfId="142" priority="36">
      <formula>LEN(TRIM(R48))&gt;0</formula>
    </cfRule>
  </conditionalFormatting>
  <conditionalFormatting sqref="L52">
    <cfRule type="notContainsBlanks" dxfId="141" priority="34">
      <formula>LEN(TRIM(L52))&gt;0</formula>
    </cfRule>
  </conditionalFormatting>
  <conditionalFormatting sqref="M52">
    <cfRule type="notContainsBlanks" dxfId="140" priority="33">
      <formula>LEN(TRIM(M52))&gt;0</formula>
    </cfRule>
  </conditionalFormatting>
  <conditionalFormatting sqref="N52">
    <cfRule type="notContainsBlanks" dxfId="139" priority="32">
      <formula>LEN(TRIM(N52))&gt;0</formula>
    </cfRule>
  </conditionalFormatting>
  <conditionalFormatting sqref="P52">
    <cfRule type="notContainsBlanks" dxfId="138" priority="31">
      <formula>LEN(TRIM(P52))&gt;0</formula>
    </cfRule>
  </conditionalFormatting>
  <conditionalFormatting sqref="Q52">
    <cfRule type="notContainsBlanks" dxfId="137" priority="30">
      <formula>LEN(TRIM(Q52))&gt;0</formula>
    </cfRule>
  </conditionalFormatting>
  <conditionalFormatting sqref="R52">
    <cfRule type="notContainsBlanks" dxfId="136" priority="29">
      <formula>LEN(TRIM(R52))&gt;0</formula>
    </cfRule>
  </conditionalFormatting>
  <conditionalFormatting sqref="S52">
    <cfRule type="notContainsBlanks" dxfId="135" priority="28">
      <formula>LEN(TRIM(S52))&gt;0</formula>
    </cfRule>
  </conditionalFormatting>
  <conditionalFormatting sqref="T52">
    <cfRule type="notContainsBlanks" dxfId="134" priority="27">
      <formula>LEN(TRIM(T52))&gt;0</formula>
    </cfRule>
  </conditionalFormatting>
  <conditionalFormatting sqref="L52">
    <cfRule type="notContainsBlanks" dxfId="133" priority="26">
      <formula>LEN(TRIM(L52))&gt;0</formula>
    </cfRule>
  </conditionalFormatting>
  <conditionalFormatting sqref="M52">
    <cfRule type="notContainsBlanks" dxfId="132" priority="25">
      <formula>LEN(TRIM(M52))&gt;0</formula>
    </cfRule>
  </conditionalFormatting>
  <conditionalFormatting sqref="N52">
    <cfRule type="notContainsBlanks" dxfId="131" priority="24">
      <formula>LEN(TRIM(N52))&gt;0</formula>
    </cfRule>
  </conditionalFormatting>
  <conditionalFormatting sqref="T56">
    <cfRule type="notContainsBlanks" dxfId="130" priority="15">
      <formula>LEN(TRIM(T56))&gt;0</formula>
    </cfRule>
  </conditionalFormatting>
  <conditionalFormatting sqref="L56">
    <cfRule type="notContainsBlanks" dxfId="129" priority="22">
      <formula>LEN(TRIM(L56))&gt;0</formula>
    </cfRule>
  </conditionalFormatting>
  <conditionalFormatting sqref="M56">
    <cfRule type="notContainsBlanks" dxfId="128" priority="21">
      <formula>LEN(TRIM(M56))&gt;0</formula>
    </cfRule>
  </conditionalFormatting>
  <conditionalFormatting sqref="N56">
    <cfRule type="notContainsBlanks" dxfId="127" priority="20">
      <formula>LEN(TRIM(N56))&gt;0</formula>
    </cfRule>
  </conditionalFormatting>
  <conditionalFormatting sqref="P56">
    <cfRule type="notContainsBlanks" dxfId="126" priority="19">
      <formula>LEN(TRIM(P56))&gt;0</formula>
    </cfRule>
  </conditionalFormatting>
  <conditionalFormatting sqref="Q56">
    <cfRule type="notContainsBlanks" dxfId="125" priority="18">
      <formula>LEN(TRIM(Q56))&gt;0</formula>
    </cfRule>
  </conditionalFormatting>
  <conditionalFormatting sqref="R56">
    <cfRule type="notContainsBlanks" dxfId="124" priority="17">
      <formula>LEN(TRIM(R56))&gt;0</formula>
    </cfRule>
  </conditionalFormatting>
  <conditionalFormatting sqref="S56">
    <cfRule type="notContainsBlanks" dxfId="123" priority="16">
      <formula>LEN(TRIM(S56))&gt;0</formula>
    </cfRule>
  </conditionalFormatting>
  <conditionalFormatting sqref="S56">
    <cfRule type="notContainsBlanks" dxfId="122" priority="11">
      <formula>LEN(TRIM(S56))&gt;0</formula>
    </cfRule>
  </conditionalFormatting>
  <conditionalFormatting sqref="P56">
    <cfRule type="notContainsBlanks" dxfId="121" priority="14">
      <formula>LEN(TRIM(P56))&gt;0</formula>
    </cfRule>
  </conditionalFormatting>
  <conditionalFormatting sqref="Q56">
    <cfRule type="notContainsBlanks" dxfId="120" priority="13">
      <formula>LEN(TRIM(Q56))&gt;0</formula>
    </cfRule>
  </conditionalFormatting>
  <conditionalFormatting sqref="R56">
    <cfRule type="notContainsBlanks" dxfId="119" priority="12">
      <formula>LEN(TRIM(R56))&gt;0</formula>
    </cfRule>
  </conditionalFormatting>
  <conditionalFormatting sqref="L60">
    <cfRule type="notContainsBlanks" dxfId="118" priority="10">
      <formula>LEN(TRIM(L60))&gt;0</formula>
    </cfRule>
  </conditionalFormatting>
  <conditionalFormatting sqref="M60">
    <cfRule type="notContainsBlanks" dxfId="117" priority="9">
      <formula>LEN(TRIM(M60))&gt;0</formula>
    </cfRule>
  </conditionalFormatting>
  <conditionalFormatting sqref="P60">
    <cfRule type="notContainsBlanks" dxfId="116" priority="8">
      <formula>LEN(TRIM(P60))&gt;0</formula>
    </cfRule>
  </conditionalFormatting>
  <conditionalFormatting sqref="Q60">
    <cfRule type="notContainsBlanks" dxfId="115" priority="7">
      <formula>LEN(TRIM(Q60))&gt;0</formula>
    </cfRule>
  </conditionalFormatting>
  <conditionalFormatting sqref="R60">
    <cfRule type="notContainsBlanks" dxfId="114" priority="6">
      <formula>LEN(TRIM(R60))&gt;0</formula>
    </cfRule>
  </conditionalFormatting>
  <conditionalFormatting sqref="O48">
    <cfRule type="notContainsBlanks" dxfId="113" priority="4">
      <formula>LEN(TRIM(O48))&gt;0</formula>
    </cfRule>
  </conditionalFormatting>
  <conditionalFormatting sqref="O44">
    <cfRule type="notContainsBlanks" dxfId="112" priority="3">
      <formula>LEN(TRIM(O44))&gt;0</formula>
    </cfRule>
  </conditionalFormatting>
  <conditionalFormatting sqref="O56">
    <cfRule type="notContainsBlanks" dxfId="111" priority="2">
      <formula>LEN(TRIM(O56))&gt;0</formula>
    </cfRule>
  </conditionalFormatting>
  <conditionalFormatting sqref="O52">
    <cfRule type="notContainsBlanks" dxfId="110" priority="1">
      <formula>LEN(TRIM(O52))&gt;0</formula>
    </cfRule>
  </conditionalFormatting>
  <printOptions horizontalCentered="1" verticalCentered="1"/>
  <pageMargins left="0" right="0" top="0" bottom="0" header="0" footer="0"/>
  <pageSetup paperSize="5" scale="4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44"/>
  <sheetViews>
    <sheetView workbookViewId="0">
      <selection activeCell="P83" sqref="P83:Q83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927" t="s">
        <v>12</v>
      </c>
      <c r="C1" s="928"/>
      <c r="D1" s="928"/>
      <c r="E1" s="928"/>
      <c r="F1" s="928"/>
      <c r="G1" s="929" t="s">
        <v>706</v>
      </c>
      <c r="H1" s="929"/>
      <c r="I1" s="153"/>
      <c r="J1" s="153"/>
      <c r="K1" s="930" t="s">
        <v>707</v>
      </c>
      <c r="L1" s="930"/>
      <c r="M1" s="154" t="s">
        <v>707</v>
      </c>
      <c r="N1" s="931" t="s">
        <v>4</v>
      </c>
      <c r="O1" s="931"/>
      <c r="P1" s="931" t="s">
        <v>710</v>
      </c>
      <c r="Q1" s="931"/>
      <c r="R1" s="931"/>
      <c r="S1" s="931"/>
      <c r="T1" s="811" t="s">
        <v>22</v>
      </c>
      <c r="U1" s="812"/>
    </row>
    <row r="2" spans="1:29" s="1" customFormat="1" ht="15" customHeight="1" x14ac:dyDescent="0.3">
      <c r="A2" s="620"/>
      <c r="B2" s="945" t="s">
        <v>712</v>
      </c>
      <c r="C2" s="946"/>
      <c r="D2" s="946"/>
      <c r="E2" s="946"/>
      <c r="F2" s="947"/>
      <c r="G2" s="948" t="s">
        <v>706</v>
      </c>
      <c r="H2" s="949"/>
      <c r="I2" s="949"/>
      <c r="J2" s="949"/>
      <c r="K2" s="949"/>
      <c r="L2" s="949"/>
      <c r="M2" s="950"/>
      <c r="N2" s="951" t="s">
        <v>710</v>
      </c>
      <c r="O2" s="952"/>
      <c r="P2" s="952"/>
      <c r="Q2" s="952"/>
      <c r="R2" s="952"/>
      <c r="S2" s="953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722"/>
      <c r="B3" s="954" t="s">
        <v>709</v>
      </c>
      <c r="C3" s="955"/>
      <c r="D3" s="955"/>
      <c r="E3" s="955"/>
      <c r="F3" s="956"/>
      <c r="G3" s="957" t="s">
        <v>709</v>
      </c>
      <c r="H3" s="958"/>
      <c r="I3" s="958"/>
      <c r="J3" s="958"/>
      <c r="K3" s="958"/>
      <c r="L3" s="958"/>
      <c r="M3" s="959"/>
      <c r="N3" s="809" t="s">
        <v>710</v>
      </c>
      <c r="O3" s="810"/>
      <c r="P3" s="810"/>
      <c r="Q3" s="810"/>
      <c r="R3" s="810"/>
      <c r="S3" s="960"/>
      <c r="T3" s="938" t="s">
        <v>708</v>
      </c>
      <c r="U3" s="939"/>
    </row>
    <row r="4" spans="1:29" ht="15" customHeight="1" x14ac:dyDescent="0.25">
      <c r="A4" s="710"/>
      <c r="B4" s="940"/>
      <c r="C4" s="940"/>
      <c r="D4" s="940"/>
      <c r="E4" s="940"/>
      <c r="F4" s="940"/>
      <c r="G4" s="941"/>
      <c r="H4" s="46"/>
      <c r="I4" s="47"/>
      <c r="J4" s="942" t="s">
        <v>11</v>
      </c>
      <c r="K4" s="943"/>
      <c r="L4" s="935" t="s">
        <v>704</v>
      </c>
      <c r="M4" s="936"/>
      <c r="N4" s="937"/>
      <c r="O4" s="936"/>
      <c r="P4" s="937"/>
      <c r="Q4" s="936"/>
      <c r="R4" s="937"/>
      <c r="S4" s="936"/>
      <c r="T4" s="937"/>
      <c r="U4" s="944"/>
      <c r="Z4" s="18" t="s">
        <v>693</v>
      </c>
    </row>
    <row r="5" spans="1:29" ht="15" customHeight="1" thickBot="1" x14ac:dyDescent="0.25">
      <c r="A5" s="711"/>
      <c r="B5" s="734"/>
      <c r="C5" s="734"/>
      <c r="D5" s="734"/>
      <c r="E5" s="734"/>
      <c r="F5" s="734"/>
      <c r="G5" s="735"/>
      <c r="H5" s="50"/>
      <c r="I5" s="47"/>
      <c r="J5" s="156" t="s">
        <v>709</v>
      </c>
      <c r="K5" s="52" t="s">
        <v>711</v>
      </c>
      <c r="L5" s="965" t="s">
        <v>705</v>
      </c>
      <c r="M5" s="654"/>
      <c r="N5" s="653"/>
      <c r="O5" s="654"/>
      <c r="P5" s="653"/>
      <c r="Q5" s="654"/>
      <c r="R5" s="653"/>
      <c r="S5" s="654"/>
      <c r="T5" s="653"/>
      <c r="U5" s="745"/>
    </row>
    <row r="6" spans="1:29" s="3" customFormat="1" ht="15" customHeight="1" x14ac:dyDescent="0.3">
      <c r="A6" s="619"/>
      <c r="B6" s="932" t="s">
        <v>710</v>
      </c>
      <c r="C6" s="933"/>
      <c r="D6" s="933"/>
      <c r="E6" s="933"/>
      <c r="F6" s="933"/>
      <c r="G6" s="934"/>
      <c r="H6" s="206" t="s">
        <v>712</v>
      </c>
      <c r="I6" s="120" t="s">
        <v>709</v>
      </c>
      <c r="J6" s="277"/>
      <c r="K6" s="278"/>
      <c r="L6" s="935"/>
      <c r="M6" s="936"/>
      <c r="N6" s="937"/>
      <c r="O6" s="936"/>
      <c r="P6" s="937"/>
      <c r="Q6" s="936"/>
      <c r="R6" s="937"/>
      <c r="S6" s="936"/>
      <c r="T6" s="937"/>
      <c r="U6" s="944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620"/>
      <c r="B7" s="59"/>
      <c r="C7" s="640"/>
      <c r="D7" s="640"/>
      <c r="E7" s="640"/>
      <c r="F7" s="640"/>
      <c r="G7" s="641"/>
      <c r="H7" s="60"/>
      <c r="I7" s="78"/>
      <c r="J7" s="227"/>
      <c r="K7" s="279"/>
      <c r="L7" s="961"/>
      <c r="M7" s="962"/>
      <c r="N7" s="963"/>
      <c r="O7" s="962"/>
      <c r="P7" s="963"/>
      <c r="Q7" s="962"/>
      <c r="R7" s="963"/>
      <c r="S7" s="962"/>
      <c r="T7" s="963"/>
      <c r="U7" s="964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620"/>
      <c r="B8" s="966"/>
      <c r="C8" s="967"/>
      <c r="D8" s="967"/>
      <c r="E8" s="967"/>
      <c r="F8" s="967"/>
      <c r="G8" s="968"/>
      <c r="H8" s="63"/>
      <c r="I8" s="64"/>
      <c r="J8" s="280"/>
      <c r="K8" s="281"/>
      <c r="L8" s="935"/>
      <c r="M8" s="936"/>
      <c r="N8" s="937"/>
      <c r="O8" s="936"/>
      <c r="P8" s="937"/>
      <c r="Q8" s="936"/>
      <c r="R8" s="937"/>
      <c r="S8" s="936"/>
      <c r="T8" s="937"/>
      <c r="U8" s="944"/>
      <c r="W8" s="12"/>
      <c r="X8" s="12"/>
      <c r="Y8" s="12"/>
      <c r="Z8" s="12"/>
    </row>
    <row r="9" spans="1:29" s="3" customFormat="1" ht="15" customHeight="1" x14ac:dyDescent="0.2">
      <c r="A9" s="620"/>
      <c r="B9" s="59"/>
      <c r="C9" s="640"/>
      <c r="D9" s="640"/>
      <c r="E9" s="640"/>
      <c r="F9" s="640"/>
      <c r="G9" s="641"/>
      <c r="H9" s="66"/>
      <c r="I9" s="119"/>
      <c r="J9" s="231"/>
      <c r="K9" s="275"/>
      <c r="L9" s="961"/>
      <c r="M9" s="962"/>
      <c r="N9" s="963"/>
      <c r="O9" s="962"/>
      <c r="P9" s="963"/>
      <c r="Q9" s="962"/>
      <c r="R9" s="963"/>
      <c r="S9" s="962"/>
      <c r="T9" s="963"/>
      <c r="U9" s="964"/>
      <c r="W9" s="12"/>
      <c r="X9" s="12"/>
      <c r="Y9" s="12"/>
      <c r="Z9" s="12"/>
    </row>
    <row r="10" spans="1:29" s="3" customFormat="1" ht="15" customHeight="1" x14ac:dyDescent="0.2">
      <c r="A10" s="620"/>
      <c r="B10" s="966"/>
      <c r="C10" s="967"/>
      <c r="D10" s="967"/>
      <c r="E10" s="967"/>
      <c r="F10" s="967"/>
      <c r="G10" s="968"/>
      <c r="H10" s="63"/>
      <c r="I10" s="64"/>
      <c r="J10" s="273"/>
      <c r="K10" s="274"/>
      <c r="L10" s="935"/>
      <c r="M10" s="936"/>
      <c r="N10" s="937"/>
      <c r="O10" s="936"/>
      <c r="P10" s="937"/>
      <c r="Q10" s="936"/>
      <c r="R10" s="937"/>
      <c r="S10" s="936"/>
      <c r="T10" s="937"/>
      <c r="U10" s="944"/>
      <c r="W10" s="13"/>
      <c r="X10" s="13"/>
    </row>
    <row r="11" spans="1:29" s="3" customFormat="1" ht="15" customHeight="1" x14ac:dyDescent="0.2">
      <c r="A11" s="620"/>
      <c r="B11" s="59"/>
      <c r="C11" s="640"/>
      <c r="D11" s="640"/>
      <c r="E11" s="640"/>
      <c r="F11" s="640"/>
      <c r="G11" s="641"/>
      <c r="H11" s="66"/>
      <c r="I11" s="119"/>
      <c r="J11" s="231"/>
      <c r="K11" s="275"/>
      <c r="L11" s="961"/>
      <c r="M11" s="962"/>
      <c r="N11" s="963"/>
      <c r="O11" s="962"/>
      <c r="P11" s="963"/>
      <c r="Q11" s="962"/>
      <c r="R11" s="963"/>
      <c r="S11" s="962"/>
      <c r="T11" s="963"/>
      <c r="U11" s="964"/>
      <c r="W11" s="7"/>
      <c r="X11" s="7"/>
    </row>
    <row r="12" spans="1:29" s="3" customFormat="1" ht="15" customHeight="1" x14ac:dyDescent="0.2">
      <c r="A12" s="620"/>
      <c r="B12" s="966"/>
      <c r="C12" s="967"/>
      <c r="D12" s="967"/>
      <c r="E12" s="967"/>
      <c r="F12" s="967"/>
      <c r="G12" s="968"/>
      <c r="H12" s="63"/>
      <c r="I12" s="64"/>
      <c r="J12" s="273"/>
      <c r="K12" s="274"/>
      <c r="L12" s="969"/>
      <c r="M12" s="970"/>
      <c r="N12" s="971"/>
      <c r="O12" s="970"/>
      <c r="P12" s="971"/>
      <c r="Q12" s="970"/>
      <c r="R12" s="971"/>
      <c r="S12" s="970"/>
      <c r="T12" s="971"/>
      <c r="U12" s="972"/>
      <c r="W12" s="7"/>
      <c r="X12" s="7"/>
    </row>
    <row r="13" spans="1:29" s="3" customFormat="1" ht="15" customHeight="1" x14ac:dyDescent="0.2">
      <c r="A13" s="620"/>
      <c r="B13" s="59"/>
      <c r="C13" s="640"/>
      <c r="D13" s="640"/>
      <c r="E13" s="640"/>
      <c r="F13" s="640"/>
      <c r="G13" s="641"/>
      <c r="H13" s="66"/>
      <c r="I13" s="119"/>
      <c r="J13" s="231"/>
      <c r="K13" s="275"/>
      <c r="L13" s="961"/>
      <c r="M13" s="962"/>
      <c r="N13" s="963"/>
      <c r="O13" s="962"/>
      <c r="P13" s="963"/>
      <c r="Q13" s="962"/>
      <c r="R13" s="963"/>
      <c r="S13" s="962"/>
      <c r="T13" s="963"/>
      <c r="U13" s="964"/>
      <c r="W13" s="7"/>
      <c r="X13" s="7"/>
    </row>
    <row r="14" spans="1:29" s="3" customFormat="1" ht="15" customHeight="1" x14ac:dyDescent="0.2">
      <c r="A14" s="620"/>
      <c r="B14" s="966"/>
      <c r="C14" s="967"/>
      <c r="D14" s="967"/>
      <c r="E14" s="967"/>
      <c r="F14" s="967"/>
      <c r="G14" s="968"/>
      <c r="H14" s="63"/>
      <c r="I14" s="74"/>
      <c r="J14" s="273"/>
      <c r="K14" s="274"/>
      <c r="L14" s="969"/>
      <c r="M14" s="970"/>
      <c r="N14" s="971"/>
      <c r="O14" s="970"/>
      <c r="P14" s="971"/>
      <c r="Q14" s="970"/>
      <c r="R14" s="971"/>
      <c r="S14" s="970"/>
      <c r="T14" s="971"/>
      <c r="U14" s="972"/>
      <c r="W14" s="13"/>
      <c r="X14" s="13"/>
    </row>
    <row r="15" spans="1:29" s="3" customFormat="1" ht="15" customHeight="1" x14ac:dyDescent="0.2">
      <c r="A15" s="620"/>
      <c r="B15" s="59"/>
      <c r="C15" s="640"/>
      <c r="D15" s="640"/>
      <c r="E15" s="640"/>
      <c r="F15" s="640"/>
      <c r="G15" s="641"/>
      <c r="H15" s="66"/>
      <c r="I15" s="119"/>
      <c r="J15" s="231"/>
      <c r="K15" s="275"/>
      <c r="L15" s="961"/>
      <c r="M15" s="962"/>
      <c r="N15" s="963"/>
      <c r="O15" s="962"/>
      <c r="P15" s="963"/>
      <c r="Q15" s="962"/>
      <c r="R15" s="963"/>
      <c r="S15" s="962"/>
      <c r="T15" s="963"/>
      <c r="U15" s="964"/>
      <c r="W15" s="13"/>
      <c r="X15" s="13"/>
    </row>
    <row r="16" spans="1:29" s="3" customFormat="1" ht="15" customHeight="1" x14ac:dyDescent="0.2">
      <c r="A16" s="620"/>
      <c r="B16" s="966"/>
      <c r="C16" s="967"/>
      <c r="D16" s="967"/>
      <c r="E16" s="967"/>
      <c r="F16" s="967"/>
      <c r="G16" s="968"/>
      <c r="H16" s="63"/>
      <c r="I16" s="74"/>
      <c r="J16" s="273"/>
      <c r="K16" s="274"/>
      <c r="L16" s="935"/>
      <c r="M16" s="936"/>
      <c r="N16" s="937"/>
      <c r="O16" s="936"/>
      <c r="P16" s="937"/>
      <c r="Q16" s="936"/>
      <c r="R16" s="937"/>
      <c r="S16" s="936"/>
      <c r="T16" s="937"/>
      <c r="U16" s="944"/>
    </row>
    <row r="17" spans="1:24" s="3" customFormat="1" ht="15" customHeight="1" thickBot="1" x14ac:dyDescent="0.25">
      <c r="A17" s="620"/>
      <c r="B17" s="70"/>
      <c r="C17" s="743"/>
      <c r="D17" s="743"/>
      <c r="E17" s="743"/>
      <c r="F17" s="743"/>
      <c r="G17" s="744"/>
      <c r="H17" s="60"/>
      <c r="I17" s="78"/>
      <c r="J17" s="156"/>
      <c r="K17" s="276"/>
      <c r="L17" s="935"/>
      <c r="M17" s="936"/>
      <c r="N17" s="937"/>
      <c r="O17" s="936"/>
      <c r="P17" s="937"/>
      <c r="Q17" s="936"/>
      <c r="R17" s="937"/>
      <c r="S17" s="936"/>
      <c r="T17" s="937"/>
      <c r="U17" s="944"/>
      <c r="W17" s="13"/>
      <c r="X17" s="13"/>
    </row>
    <row r="18" spans="1:24" ht="15" customHeight="1" x14ac:dyDescent="0.2">
      <c r="A18" s="621"/>
      <c r="B18" s="973"/>
      <c r="C18" s="974"/>
      <c r="D18" s="974"/>
      <c r="E18" s="974"/>
      <c r="F18" s="974"/>
      <c r="G18" s="975"/>
      <c r="H18" s="54"/>
      <c r="I18" s="120"/>
      <c r="J18" s="234"/>
      <c r="K18" s="235"/>
      <c r="L18" s="976"/>
      <c r="M18" s="977"/>
      <c r="N18" s="500"/>
      <c r="O18" s="501"/>
      <c r="P18" s="500"/>
      <c r="Q18" s="501"/>
      <c r="R18" s="500"/>
      <c r="S18" s="501"/>
      <c r="T18" s="500"/>
      <c r="U18" s="988"/>
      <c r="W18" s="13"/>
      <c r="X18" s="13"/>
    </row>
    <row r="19" spans="1:24" ht="15" customHeight="1" x14ac:dyDescent="0.2">
      <c r="A19" s="622"/>
      <c r="B19" s="989"/>
      <c r="C19" s="990"/>
      <c r="D19" s="990"/>
      <c r="E19" s="990"/>
      <c r="F19" s="990"/>
      <c r="G19" s="991"/>
      <c r="H19" s="60"/>
      <c r="I19" s="119"/>
      <c r="J19" s="156"/>
      <c r="K19" s="52"/>
      <c r="L19" s="992"/>
      <c r="M19" s="993"/>
      <c r="N19" s="963"/>
      <c r="O19" s="962"/>
      <c r="P19" s="963"/>
      <c r="Q19" s="962"/>
      <c r="R19" s="963"/>
      <c r="S19" s="962"/>
      <c r="T19" s="963"/>
      <c r="U19" s="964"/>
    </row>
    <row r="20" spans="1:24" s="3" customFormat="1" ht="15" customHeight="1" x14ac:dyDescent="0.2">
      <c r="A20" s="622"/>
      <c r="B20" s="978"/>
      <c r="C20" s="979"/>
      <c r="D20" s="979"/>
      <c r="E20" s="979"/>
      <c r="F20" s="979"/>
      <c r="G20" s="980"/>
      <c r="H20" s="63"/>
      <c r="I20" s="74"/>
      <c r="J20" s="236"/>
      <c r="K20" s="237"/>
      <c r="L20" s="981"/>
      <c r="M20" s="982"/>
      <c r="N20" s="971"/>
      <c r="O20" s="970"/>
      <c r="P20" s="971"/>
      <c r="Q20" s="970"/>
      <c r="R20" s="971"/>
      <c r="S20" s="970"/>
      <c r="T20" s="971"/>
      <c r="U20" s="972"/>
    </row>
    <row r="21" spans="1:24" s="3" customFormat="1" ht="15" customHeight="1" thickBot="1" x14ac:dyDescent="0.25">
      <c r="A21" s="623"/>
      <c r="B21" s="983"/>
      <c r="C21" s="984"/>
      <c r="D21" s="984"/>
      <c r="E21" s="984"/>
      <c r="F21" s="984"/>
      <c r="G21" s="985"/>
      <c r="H21" s="75"/>
      <c r="I21" s="76"/>
      <c r="J21" s="238"/>
      <c r="K21" s="239"/>
      <c r="L21" s="986"/>
      <c r="M21" s="987"/>
      <c r="N21" s="653"/>
      <c r="O21" s="654"/>
      <c r="P21" s="653"/>
      <c r="Q21" s="654"/>
      <c r="R21" s="653"/>
      <c r="S21" s="654"/>
      <c r="T21" s="653"/>
      <c r="U21" s="745"/>
    </row>
    <row r="22" spans="1:24" s="3" customFormat="1" ht="15" customHeight="1" x14ac:dyDescent="0.2">
      <c r="A22" s="621" t="s">
        <v>0</v>
      </c>
      <c r="B22" s="645"/>
      <c r="C22" s="646"/>
      <c r="D22" s="646"/>
      <c r="E22" s="646"/>
      <c r="F22" s="646"/>
      <c r="G22" s="647"/>
      <c r="H22" s="54"/>
      <c r="I22" s="120"/>
      <c r="J22" s="234"/>
      <c r="K22" s="235"/>
      <c r="L22" s="998"/>
      <c r="M22" s="999"/>
      <c r="N22" s="999"/>
      <c r="O22" s="999"/>
      <c r="P22" s="999"/>
      <c r="Q22" s="999"/>
      <c r="R22" s="999"/>
      <c r="S22" s="999"/>
      <c r="T22" s="999"/>
      <c r="U22" s="1000"/>
    </row>
    <row r="23" spans="1:24" s="3" customFormat="1" ht="15" customHeight="1" thickBot="1" x14ac:dyDescent="0.25">
      <c r="A23" s="622"/>
      <c r="B23" s="639"/>
      <c r="C23" s="640"/>
      <c r="D23" s="640"/>
      <c r="E23" s="640"/>
      <c r="F23" s="640"/>
      <c r="G23" s="641"/>
      <c r="H23" s="60"/>
      <c r="I23" s="157"/>
      <c r="J23" s="156"/>
      <c r="K23" s="52"/>
      <c r="L23" s="1001"/>
      <c r="M23" s="1002"/>
      <c r="N23" s="1002"/>
      <c r="O23" s="1002"/>
      <c r="P23" s="1002"/>
      <c r="Q23" s="1002"/>
      <c r="R23" s="1002"/>
      <c r="S23" s="1002"/>
      <c r="T23" s="1002"/>
      <c r="U23" s="1003"/>
    </row>
    <row r="24" spans="1:24" s="3" customFormat="1" ht="15" customHeight="1" thickTop="1" x14ac:dyDescent="0.2">
      <c r="A24" s="622"/>
      <c r="B24" s="642" t="s">
        <v>71</v>
      </c>
      <c r="C24" s="643"/>
      <c r="D24" s="643"/>
      <c r="E24" s="643"/>
      <c r="F24" s="643"/>
      <c r="G24" s="644"/>
      <c r="H24" s="63" t="s">
        <v>787</v>
      </c>
      <c r="I24" s="74" t="s">
        <v>115</v>
      </c>
      <c r="J24" s="236" t="s">
        <v>21</v>
      </c>
      <c r="K24" s="237">
        <v>1</v>
      </c>
      <c r="L24" s="969"/>
      <c r="M24" s="970"/>
      <c r="N24" s="971"/>
      <c r="O24" s="970"/>
      <c r="P24" s="971"/>
      <c r="Q24" s="970"/>
      <c r="R24" s="971"/>
      <c r="S24" s="970"/>
      <c r="T24" s="971"/>
      <c r="U24" s="972"/>
      <c r="W24" s="994" t="s">
        <v>120</v>
      </c>
      <c r="X24" s="995"/>
    </row>
    <row r="25" spans="1:24" s="3" customFormat="1" ht="15" customHeight="1" thickBot="1" x14ac:dyDescent="0.25">
      <c r="A25" s="622"/>
      <c r="B25" s="648" t="s">
        <v>116</v>
      </c>
      <c r="C25" s="649"/>
      <c r="D25" s="649"/>
      <c r="E25" s="649"/>
      <c r="F25" s="649"/>
      <c r="G25" s="650"/>
      <c r="H25" s="60"/>
      <c r="I25" s="78"/>
      <c r="J25" s="156"/>
      <c r="K25" s="52"/>
      <c r="L25" s="961"/>
      <c r="M25" s="962"/>
      <c r="N25" s="963"/>
      <c r="O25" s="962"/>
      <c r="P25" s="963"/>
      <c r="Q25" s="962"/>
      <c r="R25" s="963"/>
      <c r="S25" s="962"/>
      <c r="T25" s="963"/>
      <c r="U25" s="964"/>
      <c r="W25" s="996"/>
      <c r="X25" s="997"/>
    </row>
    <row r="26" spans="1:24" s="3" customFormat="1" ht="15" customHeight="1" thickTop="1" x14ac:dyDescent="0.2">
      <c r="A26" s="622"/>
      <c r="B26" s="642" t="s">
        <v>71</v>
      </c>
      <c r="C26" s="643"/>
      <c r="D26" s="643"/>
      <c r="E26" s="643"/>
      <c r="F26" s="643"/>
      <c r="G26" s="644"/>
      <c r="H26" s="63" t="s">
        <v>787</v>
      </c>
      <c r="I26" s="74" t="s">
        <v>118</v>
      </c>
      <c r="J26" s="236" t="s">
        <v>21</v>
      </c>
      <c r="K26" s="237">
        <v>1</v>
      </c>
      <c r="L26" s="969"/>
      <c r="M26" s="970"/>
      <c r="N26" s="971"/>
      <c r="O26" s="970"/>
      <c r="P26" s="971"/>
      <c r="Q26" s="970"/>
      <c r="R26" s="971"/>
      <c r="S26" s="970"/>
      <c r="T26" s="971"/>
      <c r="U26" s="972"/>
      <c r="W26" s="1004" t="s">
        <v>127</v>
      </c>
      <c r="X26" s="1005"/>
    </row>
    <row r="27" spans="1:24" s="3" customFormat="1" ht="15" customHeight="1" thickBot="1" x14ac:dyDescent="0.25">
      <c r="A27" s="622"/>
      <c r="B27" s="639" t="s">
        <v>119</v>
      </c>
      <c r="C27" s="640"/>
      <c r="D27" s="640"/>
      <c r="E27" s="640"/>
      <c r="F27" s="640"/>
      <c r="G27" s="641"/>
      <c r="H27" s="60"/>
      <c r="I27" s="78"/>
      <c r="J27" s="156"/>
      <c r="K27" s="52"/>
      <c r="L27" s="961"/>
      <c r="M27" s="962"/>
      <c r="N27" s="963"/>
      <c r="O27" s="962"/>
      <c r="P27" s="963"/>
      <c r="Q27" s="962"/>
      <c r="R27" s="963"/>
      <c r="S27" s="962"/>
      <c r="T27" s="963"/>
      <c r="U27" s="964"/>
      <c r="W27" s="1006"/>
      <c r="X27" s="1007"/>
    </row>
    <row r="28" spans="1:24" s="3" customFormat="1" ht="15" customHeight="1" thickTop="1" x14ac:dyDescent="0.2">
      <c r="A28" s="622"/>
      <c r="B28" s="642" t="s">
        <v>71</v>
      </c>
      <c r="C28" s="643"/>
      <c r="D28" s="643"/>
      <c r="E28" s="643"/>
      <c r="F28" s="643"/>
      <c r="G28" s="644"/>
      <c r="H28" s="63" t="s">
        <v>787</v>
      </c>
      <c r="I28" s="74" t="s">
        <v>117</v>
      </c>
      <c r="J28" s="236" t="s">
        <v>21</v>
      </c>
      <c r="K28" s="237">
        <v>1</v>
      </c>
      <c r="L28" s="969"/>
      <c r="M28" s="970"/>
      <c r="N28" s="971"/>
      <c r="O28" s="970"/>
      <c r="P28" s="971"/>
      <c r="Q28" s="970"/>
      <c r="R28" s="971"/>
      <c r="S28" s="970"/>
      <c r="T28" s="971"/>
      <c r="U28" s="972"/>
      <c r="W28" s="1008" t="s">
        <v>611</v>
      </c>
      <c r="X28" s="1009"/>
    </row>
    <row r="29" spans="1:24" s="3" customFormat="1" ht="15" customHeight="1" thickBot="1" x14ac:dyDescent="0.25">
      <c r="A29" s="622"/>
      <c r="B29" s="639" t="s">
        <v>113</v>
      </c>
      <c r="C29" s="640"/>
      <c r="D29" s="640"/>
      <c r="E29" s="640"/>
      <c r="F29" s="640"/>
      <c r="G29" s="641"/>
      <c r="H29" s="66"/>
      <c r="I29" s="119"/>
      <c r="J29" s="242"/>
      <c r="K29" s="243"/>
      <c r="L29" s="961"/>
      <c r="M29" s="962"/>
      <c r="N29" s="963"/>
      <c r="O29" s="962"/>
      <c r="P29" s="963"/>
      <c r="Q29" s="962"/>
      <c r="R29" s="963"/>
      <c r="S29" s="962"/>
      <c r="T29" s="963"/>
      <c r="U29" s="964"/>
      <c r="W29" s="1010"/>
      <c r="X29" s="1011"/>
    </row>
    <row r="30" spans="1:24" s="3" customFormat="1" ht="15" customHeight="1" thickTop="1" x14ac:dyDescent="0.2">
      <c r="A30" s="622"/>
      <c r="B30" s="642" t="s">
        <v>71</v>
      </c>
      <c r="C30" s="643"/>
      <c r="D30" s="643"/>
      <c r="E30" s="643"/>
      <c r="F30" s="643"/>
      <c r="G30" s="644"/>
      <c r="H30" s="63" t="s">
        <v>787</v>
      </c>
      <c r="I30" s="74" t="s">
        <v>696</v>
      </c>
      <c r="J30" s="236" t="s">
        <v>21</v>
      </c>
      <c r="K30" s="237">
        <v>1</v>
      </c>
      <c r="L30" s="969"/>
      <c r="M30" s="970"/>
      <c r="N30" s="971"/>
      <c r="O30" s="970"/>
      <c r="P30" s="971"/>
      <c r="Q30" s="970"/>
      <c r="R30" s="971"/>
      <c r="S30" s="970"/>
      <c r="T30" s="971"/>
      <c r="U30" s="972"/>
      <c r="W30" s="1012" t="s">
        <v>126</v>
      </c>
      <c r="X30" s="1013"/>
    </row>
    <row r="31" spans="1:24" s="3" customFormat="1" ht="15" customHeight="1" thickBot="1" x14ac:dyDescent="0.25">
      <c r="A31" s="622"/>
      <c r="B31" s="639" t="s">
        <v>610</v>
      </c>
      <c r="C31" s="640"/>
      <c r="D31" s="640"/>
      <c r="E31" s="640"/>
      <c r="F31" s="640"/>
      <c r="G31" s="641"/>
      <c r="H31" s="66"/>
      <c r="I31" s="119"/>
      <c r="J31" s="242"/>
      <c r="K31" s="243"/>
      <c r="L31" s="961"/>
      <c r="M31" s="962"/>
      <c r="N31" s="963"/>
      <c r="O31" s="962"/>
      <c r="P31" s="963"/>
      <c r="Q31" s="962"/>
      <c r="R31" s="963"/>
      <c r="S31" s="962"/>
      <c r="T31" s="963"/>
      <c r="U31" s="964"/>
      <c r="W31" s="1014"/>
      <c r="X31" s="1015"/>
    </row>
    <row r="32" spans="1:24" s="3" customFormat="1" ht="15" customHeight="1" thickTop="1" x14ac:dyDescent="0.2">
      <c r="A32" s="622"/>
      <c r="B32" s="642" t="s">
        <v>71</v>
      </c>
      <c r="C32" s="643"/>
      <c r="D32" s="643"/>
      <c r="E32" s="643"/>
      <c r="F32" s="643"/>
      <c r="G32" s="644"/>
      <c r="H32" s="63" t="s">
        <v>787</v>
      </c>
      <c r="I32" s="158" t="s">
        <v>697</v>
      </c>
      <c r="J32" s="269">
        <v>1</v>
      </c>
      <c r="K32" s="270">
        <v>1</v>
      </c>
      <c r="L32" s="969"/>
      <c r="M32" s="970"/>
      <c r="N32" s="971"/>
      <c r="O32" s="970"/>
      <c r="P32" s="971"/>
      <c r="Q32" s="970"/>
      <c r="R32" s="971"/>
      <c r="S32" s="970"/>
      <c r="T32" s="971"/>
      <c r="U32" s="972"/>
      <c r="W32" s="1012" t="s">
        <v>699</v>
      </c>
      <c r="X32" s="1013"/>
    </row>
    <row r="33" spans="1:24" s="3" customFormat="1" ht="15" customHeight="1" thickBot="1" x14ac:dyDescent="0.25">
      <c r="A33" s="622"/>
      <c r="B33" s="648" t="s">
        <v>698</v>
      </c>
      <c r="C33" s="649"/>
      <c r="D33" s="649"/>
      <c r="E33" s="649"/>
      <c r="F33" s="649"/>
      <c r="G33" s="650"/>
      <c r="H33" s="159"/>
      <c r="I33" s="129"/>
      <c r="J33" s="271"/>
      <c r="K33" s="272"/>
      <c r="L33" s="961"/>
      <c r="M33" s="962"/>
      <c r="N33" s="963"/>
      <c r="O33" s="962"/>
      <c r="P33" s="963"/>
      <c r="Q33" s="962"/>
      <c r="R33" s="963"/>
      <c r="S33" s="962"/>
      <c r="T33" s="963"/>
      <c r="U33" s="964"/>
      <c r="W33" s="1014"/>
      <c r="X33" s="1015"/>
    </row>
    <row r="34" spans="1:24" s="3" customFormat="1" ht="15" customHeight="1" thickTop="1" x14ac:dyDescent="0.2">
      <c r="A34" s="622"/>
      <c r="B34" s="642" t="s">
        <v>71</v>
      </c>
      <c r="C34" s="643"/>
      <c r="D34" s="643"/>
      <c r="E34" s="643"/>
      <c r="F34" s="643"/>
      <c r="G34" s="644"/>
      <c r="H34" s="63" t="s">
        <v>787</v>
      </c>
      <c r="I34" s="158" t="s">
        <v>72</v>
      </c>
      <c r="J34" s="269">
        <v>1</v>
      </c>
      <c r="K34" s="270">
        <v>1</v>
      </c>
      <c r="L34" s="969"/>
      <c r="M34" s="970"/>
      <c r="N34" s="971"/>
      <c r="O34" s="970"/>
      <c r="P34" s="971"/>
      <c r="Q34" s="970"/>
      <c r="R34" s="971"/>
      <c r="S34" s="970"/>
      <c r="T34" s="971"/>
      <c r="U34" s="972"/>
      <c r="W34" s="1016" t="s">
        <v>121</v>
      </c>
      <c r="X34" s="1017"/>
    </row>
    <row r="35" spans="1:24" s="3" customFormat="1" ht="15" customHeight="1" thickBot="1" x14ac:dyDescent="0.25">
      <c r="A35" s="622"/>
      <c r="B35" s="648" t="s">
        <v>114</v>
      </c>
      <c r="C35" s="649"/>
      <c r="D35" s="649"/>
      <c r="E35" s="649"/>
      <c r="F35" s="649"/>
      <c r="G35" s="650"/>
      <c r="H35" s="159"/>
      <c r="I35" s="129"/>
      <c r="J35" s="271"/>
      <c r="K35" s="272"/>
      <c r="L35" s="961"/>
      <c r="M35" s="962"/>
      <c r="N35" s="963"/>
      <c r="O35" s="962"/>
      <c r="P35" s="963"/>
      <c r="Q35" s="962"/>
      <c r="R35" s="963"/>
      <c r="S35" s="962"/>
      <c r="T35" s="963"/>
      <c r="U35" s="964"/>
      <c r="W35" s="1018"/>
      <c r="X35" s="1019"/>
    </row>
    <row r="36" spans="1:24" s="3" customFormat="1" ht="15" customHeight="1" thickTop="1" x14ac:dyDescent="0.2">
      <c r="A36" s="622"/>
      <c r="B36" s="642" t="s">
        <v>71</v>
      </c>
      <c r="C36" s="643"/>
      <c r="D36" s="643"/>
      <c r="E36" s="643"/>
      <c r="F36" s="643"/>
      <c r="G36" s="644"/>
      <c r="H36" s="63" t="s">
        <v>787</v>
      </c>
      <c r="I36" s="158" t="s">
        <v>124</v>
      </c>
      <c r="J36" s="269">
        <v>1</v>
      </c>
      <c r="K36" s="270">
        <v>1</v>
      </c>
      <c r="L36" s="969"/>
      <c r="M36" s="970"/>
      <c r="N36" s="971"/>
      <c r="O36" s="970"/>
      <c r="P36" s="971"/>
      <c r="Q36" s="970"/>
      <c r="R36" s="971"/>
      <c r="S36" s="970"/>
      <c r="T36" s="971"/>
      <c r="U36" s="972"/>
      <c r="W36" s="1020" t="s">
        <v>123</v>
      </c>
      <c r="X36" s="1021"/>
    </row>
    <row r="37" spans="1:24" s="3" customFormat="1" ht="15" customHeight="1" thickBot="1" x14ac:dyDescent="0.25">
      <c r="A37" s="622"/>
      <c r="B37" s="648" t="s">
        <v>122</v>
      </c>
      <c r="C37" s="649"/>
      <c r="D37" s="649"/>
      <c r="E37" s="649"/>
      <c r="F37" s="649"/>
      <c r="G37" s="650"/>
      <c r="H37" s="159"/>
      <c r="I37" s="129"/>
      <c r="J37" s="271"/>
      <c r="K37" s="243"/>
      <c r="L37" s="961"/>
      <c r="M37" s="962"/>
      <c r="N37" s="963"/>
      <c r="O37" s="962"/>
      <c r="P37" s="963"/>
      <c r="Q37" s="962"/>
      <c r="R37" s="963"/>
      <c r="S37" s="962"/>
      <c r="T37" s="963"/>
      <c r="U37" s="964"/>
      <c r="W37" s="1022"/>
      <c r="X37" s="1023"/>
    </row>
    <row r="38" spans="1:24" s="3" customFormat="1" ht="15" customHeight="1" thickTop="1" x14ac:dyDescent="0.2">
      <c r="A38" s="622"/>
      <c r="B38" s="636" t="s">
        <v>71</v>
      </c>
      <c r="C38" s="637"/>
      <c r="D38" s="637"/>
      <c r="E38" s="637"/>
      <c r="F38" s="637"/>
      <c r="G38" s="638"/>
      <c r="H38" s="63" t="s">
        <v>787</v>
      </c>
      <c r="I38" s="158" t="s">
        <v>280</v>
      </c>
      <c r="J38" s="269">
        <v>1</v>
      </c>
      <c r="K38" s="270">
        <v>1</v>
      </c>
      <c r="L38" s="969"/>
      <c r="M38" s="970"/>
      <c r="N38" s="971"/>
      <c r="O38" s="970"/>
      <c r="P38" s="971"/>
      <c r="Q38" s="970"/>
      <c r="R38" s="971"/>
      <c r="S38" s="970"/>
      <c r="T38" s="971"/>
      <c r="U38" s="972"/>
      <c r="W38" s="1024" t="s">
        <v>128</v>
      </c>
      <c r="X38" s="1025"/>
    </row>
    <row r="39" spans="1:24" s="3" customFormat="1" ht="15" customHeight="1" thickBot="1" x14ac:dyDescent="0.25">
      <c r="A39" s="622"/>
      <c r="B39" s="639" t="s">
        <v>282</v>
      </c>
      <c r="C39" s="640"/>
      <c r="D39" s="640"/>
      <c r="E39" s="640"/>
      <c r="F39" s="640"/>
      <c r="G39" s="641"/>
      <c r="H39" s="159"/>
      <c r="I39" s="129"/>
      <c r="J39" s="271"/>
      <c r="K39" s="272"/>
      <c r="L39" s="961"/>
      <c r="M39" s="962"/>
      <c r="N39" s="963"/>
      <c r="O39" s="962"/>
      <c r="P39" s="963"/>
      <c r="Q39" s="962"/>
      <c r="R39" s="963"/>
      <c r="S39" s="962"/>
      <c r="T39" s="963"/>
      <c r="U39" s="964"/>
      <c r="W39" s="1026"/>
      <c r="X39" s="1027"/>
    </row>
    <row r="40" spans="1:24" s="3" customFormat="1" ht="15" customHeight="1" thickTop="1" x14ac:dyDescent="0.2">
      <c r="A40" s="622"/>
      <c r="B40" s="642" t="s">
        <v>71</v>
      </c>
      <c r="C40" s="643"/>
      <c r="D40" s="643"/>
      <c r="E40" s="643"/>
      <c r="F40" s="643"/>
      <c r="G40" s="644"/>
      <c r="H40" s="63" t="s">
        <v>787</v>
      </c>
      <c r="I40" s="158" t="s">
        <v>281</v>
      </c>
      <c r="J40" s="269">
        <v>1</v>
      </c>
      <c r="K40" s="270">
        <v>1</v>
      </c>
      <c r="L40" s="969"/>
      <c r="M40" s="970"/>
      <c r="N40" s="971"/>
      <c r="O40" s="970"/>
      <c r="P40" s="971"/>
      <c r="Q40" s="970"/>
      <c r="R40" s="971"/>
      <c r="S40" s="970"/>
      <c r="T40" s="971"/>
      <c r="U40" s="972"/>
      <c r="W40" s="1028" t="s">
        <v>129</v>
      </c>
      <c r="X40" s="1029"/>
    </row>
    <row r="41" spans="1:24" s="3" customFormat="1" ht="15" customHeight="1" thickBot="1" x14ac:dyDescent="0.25">
      <c r="A41" s="622"/>
      <c r="B41" s="639" t="s">
        <v>283</v>
      </c>
      <c r="C41" s="640"/>
      <c r="D41" s="640"/>
      <c r="E41" s="640"/>
      <c r="F41" s="640"/>
      <c r="G41" s="641"/>
      <c r="H41" s="159"/>
      <c r="I41" s="129"/>
      <c r="J41" s="271"/>
      <c r="K41" s="272"/>
      <c r="L41" s="961"/>
      <c r="M41" s="962"/>
      <c r="N41" s="963"/>
      <c r="O41" s="962"/>
      <c r="P41" s="963"/>
      <c r="Q41" s="962"/>
      <c r="R41" s="963"/>
      <c r="S41" s="962"/>
      <c r="T41" s="963"/>
      <c r="U41" s="964"/>
      <c r="W41" s="1030"/>
      <c r="X41" s="1031"/>
    </row>
    <row r="42" spans="1:24" s="3" customFormat="1" ht="15" customHeight="1" thickTop="1" x14ac:dyDescent="0.2">
      <c r="A42" s="622"/>
      <c r="B42" s="490" t="s">
        <v>37</v>
      </c>
      <c r="C42" s="491"/>
      <c r="D42" s="491"/>
      <c r="E42" s="491"/>
      <c r="F42" s="491"/>
      <c r="G42" s="492"/>
      <c r="H42" s="79" t="s">
        <v>788</v>
      </c>
      <c r="I42" s="80" t="s">
        <v>19</v>
      </c>
      <c r="J42" s="263"/>
      <c r="K42" s="264"/>
      <c r="L42" s="662" t="s">
        <v>751</v>
      </c>
      <c r="M42" s="487"/>
      <c r="N42" s="468" t="s">
        <v>751</v>
      </c>
      <c r="O42" s="469"/>
      <c r="P42" s="468" t="s">
        <v>751</v>
      </c>
      <c r="Q42" s="469"/>
      <c r="R42" s="468" t="s">
        <v>751</v>
      </c>
      <c r="S42" s="469"/>
      <c r="T42" s="468" t="s">
        <v>751</v>
      </c>
      <c r="U42" s="701"/>
      <c r="W42" s="1132" t="s">
        <v>149</v>
      </c>
      <c r="X42" s="1133"/>
    </row>
    <row r="43" spans="1:24" s="3" customFormat="1" ht="15" customHeight="1" thickBot="1" x14ac:dyDescent="0.25">
      <c r="A43" s="622"/>
      <c r="B43" s="476" t="s">
        <v>38</v>
      </c>
      <c r="C43" s="477"/>
      <c r="D43" s="477"/>
      <c r="E43" s="477"/>
      <c r="F43" s="477"/>
      <c r="G43" s="478"/>
      <c r="H43" s="85"/>
      <c r="I43" s="5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34"/>
      <c r="X43" s="1135"/>
    </row>
    <row r="44" spans="1:24" s="3" customFormat="1" ht="15" customHeight="1" x14ac:dyDescent="0.2">
      <c r="A44" s="622"/>
      <c r="B44" s="719"/>
      <c r="C44" s="720"/>
      <c r="D44" s="720"/>
      <c r="E44" s="720"/>
      <c r="F44" s="720"/>
      <c r="G44" s="721"/>
      <c r="H44" s="695" t="s">
        <v>36</v>
      </c>
      <c r="I44" s="696"/>
      <c r="J44" s="696"/>
      <c r="K44" s="697"/>
      <c r="L44" s="164">
        <v>41</v>
      </c>
      <c r="M44" s="164">
        <v>42</v>
      </c>
      <c r="N44" s="164">
        <v>43</v>
      </c>
      <c r="O44" s="165"/>
      <c r="P44" s="165"/>
      <c r="Q44" s="166"/>
      <c r="R44" s="166"/>
      <c r="S44" s="166"/>
      <c r="T44" s="166"/>
      <c r="U44" s="201" t="s">
        <v>26</v>
      </c>
      <c r="W44" s="1134"/>
      <c r="X44" s="1135"/>
    </row>
    <row r="45" spans="1:24" s="3" customFormat="1" ht="15" customHeight="1" x14ac:dyDescent="0.2">
      <c r="A45" s="622"/>
      <c r="B45" s="470"/>
      <c r="C45" s="471"/>
      <c r="D45" s="471"/>
      <c r="E45" s="471"/>
      <c r="F45" s="471"/>
      <c r="G45" s="472"/>
      <c r="H45" s="465" t="s">
        <v>40</v>
      </c>
      <c r="I45" s="466"/>
      <c r="J45" s="466"/>
      <c r="K45" s="467"/>
      <c r="L45" s="190">
        <f>IF(L44="","",CONVERT(L44,"cm","m"))</f>
        <v>0.41000000000000003</v>
      </c>
      <c r="M45" s="190">
        <f t="shared" ref="M45:N45" si="0">IF(M44="","",CONVERT(M44,"cm","m"))</f>
        <v>0.42</v>
      </c>
      <c r="N45" s="190">
        <f t="shared" si="0"/>
        <v>0.43</v>
      </c>
      <c r="O45" s="167"/>
      <c r="P45" s="167"/>
      <c r="Q45" s="168"/>
      <c r="R45" s="168"/>
      <c r="S45" s="168"/>
      <c r="T45" s="167"/>
      <c r="U45" s="202" t="s">
        <v>27</v>
      </c>
      <c r="W45" s="1134"/>
      <c r="X45" s="1135"/>
    </row>
    <row r="46" spans="1:24" s="3" customFormat="1" ht="15" customHeight="1" x14ac:dyDescent="0.2">
      <c r="A46" s="622"/>
      <c r="B46" s="490" t="s">
        <v>37</v>
      </c>
      <c r="C46" s="491"/>
      <c r="D46" s="491"/>
      <c r="E46" s="491"/>
      <c r="F46" s="491"/>
      <c r="G46" s="492"/>
      <c r="H46" s="63" t="s">
        <v>788</v>
      </c>
      <c r="I46" s="80" t="s">
        <v>18</v>
      </c>
      <c r="J46" s="263"/>
      <c r="K46" s="264"/>
      <c r="L46" s="662" t="s">
        <v>751</v>
      </c>
      <c r="M46" s="487"/>
      <c r="N46" s="468" t="s">
        <v>751</v>
      </c>
      <c r="O46" s="469"/>
      <c r="P46" s="468" t="s">
        <v>751</v>
      </c>
      <c r="Q46" s="469"/>
      <c r="R46" s="468" t="s">
        <v>751</v>
      </c>
      <c r="S46" s="469"/>
      <c r="T46" s="468" t="s">
        <v>751</v>
      </c>
      <c r="U46" s="701"/>
      <c r="W46" s="1038" t="s">
        <v>150</v>
      </c>
      <c r="X46" s="1039"/>
    </row>
    <row r="47" spans="1:24" s="3" customFormat="1" ht="15" customHeight="1" thickBot="1" x14ac:dyDescent="0.25">
      <c r="A47" s="622"/>
      <c r="B47" s="476" t="s">
        <v>39</v>
      </c>
      <c r="C47" s="477"/>
      <c r="D47" s="477"/>
      <c r="E47" s="477"/>
      <c r="F47" s="477"/>
      <c r="G47" s="478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1038"/>
      <c r="X47" s="1039"/>
    </row>
    <row r="48" spans="1:24" s="3" customFormat="1" ht="15" customHeight="1" x14ac:dyDescent="0.2">
      <c r="A48" s="622"/>
      <c r="B48" s="719"/>
      <c r="C48" s="720"/>
      <c r="D48" s="720"/>
      <c r="E48" s="720"/>
      <c r="F48" s="720"/>
      <c r="G48" s="721"/>
      <c r="H48" s="696" t="s">
        <v>36</v>
      </c>
      <c r="I48" s="696"/>
      <c r="J48" s="696"/>
      <c r="K48" s="697"/>
      <c r="L48" s="169"/>
      <c r="M48" s="166"/>
      <c r="N48" s="166"/>
      <c r="O48" s="164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1038"/>
      <c r="X48" s="1039"/>
    </row>
    <row r="49" spans="1:28" s="3" customFormat="1" ht="15" customHeight="1" x14ac:dyDescent="0.2">
      <c r="A49" s="622"/>
      <c r="B49" s="470"/>
      <c r="C49" s="471"/>
      <c r="D49" s="471"/>
      <c r="E49" s="471"/>
      <c r="F49" s="471"/>
      <c r="G49" s="472"/>
      <c r="H49" s="466" t="s">
        <v>40</v>
      </c>
      <c r="I49" s="466"/>
      <c r="J49" s="466"/>
      <c r="K49" s="467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1038"/>
      <c r="X49" s="1039"/>
    </row>
    <row r="50" spans="1:28" s="3" customFormat="1" ht="15" customHeight="1" x14ac:dyDescent="0.2">
      <c r="A50" s="622"/>
      <c r="B50" s="490" t="s">
        <v>37</v>
      </c>
      <c r="C50" s="491"/>
      <c r="D50" s="491"/>
      <c r="E50" s="491"/>
      <c r="F50" s="491"/>
      <c r="G50" s="492"/>
      <c r="H50" s="79" t="s">
        <v>788</v>
      </c>
      <c r="I50" s="172" t="s">
        <v>160</v>
      </c>
      <c r="J50" s="263"/>
      <c r="K50" s="264"/>
      <c r="L50" s="662" t="s">
        <v>751</v>
      </c>
      <c r="M50" s="487"/>
      <c r="N50" s="468" t="s">
        <v>751</v>
      </c>
      <c r="O50" s="469"/>
      <c r="P50" s="468" t="s">
        <v>751</v>
      </c>
      <c r="Q50" s="469"/>
      <c r="R50" s="468" t="s">
        <v>751</v>
      </c>
      <c r="S50" s="469"/>
      <c r="T50" s="468" t="s">
        <v>751</v>
      </c>
      <c r="U50" s="701"/>
      <c r="W50" s="1055" t="s">
        <v>159</v>
      </c>
      <c r="X50" s="1056"/>
    </row>
    <row r="51" spans="1:28" s="3" customFormat="1" ht="15" customHeight="1" x14ac:dyDescent="0.2">
      <c r="A51" s="622"/>
      <c r="B51" s="1136" t="s">
        <v>717</v>
      </c>
      <c r="C51" s="1137"/>
      <c r="D51" s="1137"/>
      <c r="E51" s="1137"/>
      <c r="F51" s="1137"/>
      <c r="G51" s="1138"/>
      <c r="H51" s="95"/>
      <c r="I51" s="96"/>
      <c r="J51" s="265"/>
      <c r="K51" s="251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055"/>
      <c r="X51" s="1056"/>
    </row>
    <row r="52" spans="1:28" s="3" customFormat="1" ht="15" customHeight="1" x14ac:dyDescent="0.2">
      <c r="A52" s="622"/>
      <c r="B52" s="473"/>
      <c r="C52" s="474"/>
      <c r="D52" s="474"/>
      <c r="E52" s="474"/>
      <c r="F52" s="474"/>
      <c r="G52" s="475"/>
      <c r="H52" s="496" t="s">
        <v>161</v>
      </c>
      <c r="I52" s="496"/>
      <c r="J52" s="496"/>
      <c r="K52" s="497"/>
      <c r="L52" s="173"/>
      <c r="M52" s="174">
        <v>40</v>
      </c>
      <c r="N52" s="173"/>
      <c r="O52" s="174">
        <v>44</v>
      </c>
      <c r="P52" s="173"/>
      <c r="Q52" s="174">
        <v>48</v>
      </c>
      <c r="R52" s="173"/>
      <c r="S52" s="175">
        <v>52</v>
      </c>
      <c r="T52" s="173"/>
      <c r="U52" s="201" t="s">
        <v>26</v>
      </c>
      <c r="W52" s="1055"/>
      <c r="X52" s="1056"/>
    </row>
    <row r="53" spans="1:28" s="3" customFormat="1" ht="15" customHeight="1" x14ac:dyDescent="0.2">
      <c r="A53" s="622"/>
      <c r="B53" s="698"/>
      <c r="C53" s="699"/>
      <c r="D53" s="699"/>
      <c r="E53" s="699"/>
      <c r="F53" s="699"/>
      <c r="G53" s="700"/>
      <c r="H53" s="498" t="s">
        <v>40</v>
      </c>
      <c r="I53" s="498"/>
      <c r="J53" s="498"/>
      <c r="K53" s="499"/>
      <c r="L53" s="192"/>
      <c r="M53" s="190">
        <f t="shared" ref="M53" si="4">IF(M52="","",CONVERT(M52,"cm","m"))</f>
        <v>0.4</v>
      </c>
      <c r="N53" s="192"/>
      <c r="O53" s="190">
        <f t="shared" ref="O53" si="5">IF(O52="","",CONVERT(O52,"cm","m"))</f>
        <v>0.44</v>
      </c>
      <c r="P53" s="192"/>
      <c r="Q53" s="190">
        <f t="shared" ref="Q53" si="6">IF(Q52="","",CONVERT(Q52,"cm","m"))</f>
        <v>0.48</v>
      </c>
      <c r="R53" s="192"/>
      <c r="S53" s="190">
        <f t="shared" ref="S53" si="7">IF(S52="","",CONVERT(S52,"cm","m"))</f>
        <v>0.52</v>
      </c>
      <c r="T53" s="192"/>
      <c r="U53" s="202" t="s">
        <v>27</v>
      </c>
      <c r="W53" s="1055"/>
      <c r="X53" s="1056"/>
    </row>
    <row r="54" spans="1:28" s="3" customFormat="1" ht="15" customHeight="1" x14ac:dyDescent="0.2">
      <c r="A54" s="622"/>
      <c r="B54" s="490" t="s">
        <v>37</v>
      </c>
      <c r="C54" s="491"/>
      <c r="D54" s="491"/>
      <c r="E54" s="491"/>
      <c r="F54" s="491"/>
      <c r="G54" s="492"/>
      <c r="H54" s="79" t="s">
        <v>788</v>
      </c>
      <c r="I54" s="94" t="s">
        <v>10</v>
      </c>
      <c r="J54" s="263"/>
      <c r="K54" s="264"/>
      <c r="L54" s="662" t="s">
        <v>751</v>
      </c>
      <c r="M54" s="487"/>
      <c r="N54" s="468" t="s">
        <v>751</v>
      </c>
      <c r="O54" s="469"/>
      <c r="P54" s="468" t="s">
        <v>751</v>
      </c>
      <c r="Q54" s="469"/>
      <c r="R54" s="468" t="s">
        <v>751</v>
      </c>
      <c r="S54" s="469"/>
      <c r="T54" s="468" t="s">
        <v>751</v>
      </c>
      <c r="U54" s="701"/>
      <c r="W54" s="1042" t="s">
        <v>85</v>
      </c>
      <c r="X54" s="1043"/>
      <c r="AB54" s="9"/>
    </row>
    <row r="55" spans="1:28" s="3" customFormat="1" ht="15" customHeight="1" x14ac:dyDescent="0.2">
      <c r="A55" s="622"/>
      <c r="B55" s="488" t="s">
        <v>41</v>
      </c>
      <c r="C55" s="428"/>
      <c r="D55" s="428"/>
      <c r="E55" s="428"/>
      <c r="F55" s="428"/>
      <c r="G55" s="489"/>
      <c r="H55" s="95"/>
      <c r="I55" s="96"/>
      <c r="J55" s="265"/>
      <c r="K55" s="251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1042"/>
      <c r="X55" s="1043"/>
      <c r="AB55" s="9"/>
    </row>
    <row r="56" spans="1:28" s="3" customFormat="1" ht="15" customHeight="1" x14ac:dyDescent="0.2">
      <c r="A56" s="622"/>
      <c r="B56" s="473"/>
      <c r="C56" s="474"/>
      <c r="D56" s="474"/>
      <c r="E56" s="474"/>
      <c r="F56" s="474"/>
      <c r="G56" s="475"/>
      <c r="H56" s="496" t="s">
        <v>70</v>
      </c>
      <c r="I56" s="496"/>
      <c r="J56" s="496"/>
      <c r="K56" s="497"/>
      <c r="L56" s="297"/>
      <c r="M56" s="298"/>
      <c r="N56" s="298"/>
      <c r="O56" s="298"/>
      <c r="P56" s="298"/>
      <c r="Q56" s="298"/>
      <c r="R56" s="298"/>
      <c r="S56" s="298"/>
      <c r="T56" s="299"/>
      <c r="U56" s="203" t="s">
        <v>26</v>
      </c>
      <c r="W56" s="1042"/>
      <c r="X56" s="1043"/>
    </row>
    <row r="57" spans="1:28" s="3" customFormat="1" ht="15" customHeight="1" thickBot="1" x14ac:dyDescent="0.25">
      <c r="A57" s="622"/>
      <c r="B57" s="698"/>
      <c r="C57" s="699"/>
      <c r="D57" s="699"/>
      <c r="E57" s="699"/>
      <c r="F57" s="699"/>
      <c r="G57" s="700"/>
      <c r="H57" s="498" t="s">
        <v>40</v>
      </c>
      <c r="I57" s="498"/>
      <c r="J57" s="498"/>
      <c r="K57" s="499"/>
      <c r="L57" s="189" t="str">
        <f>IF(L56="","",CONVERT(L56,"cm","m"))</f>
        <v/>
      </c>
      <c r="M57" s="190" t="str">
        <f>IF(M56="","",CONVERT(M56,"cm","m"))</f>
        <v/>
      </c>
      <c r="N57" s="190" t="str">
        <f t="shared" ref="N57:T57" si="8">IF(N56="","",CONVERT(N56,"cm","m"))</f>
        <v/>
      </c>
      <c r="O57" s="190" t="str">
        <f t="shared" si="8"/>
        <v/>
      </c>
      <c r="P57" s="190" t="str">
        <f t="shared" si="8"/>
        <v/>
      </c>
      <c r="Q57" s="190" t="str">
        <f t="shared" si="8"/>
        <v/>
      </c>
      <c r="R57" s="190" t="str">
        <f t="shared" si="8"/>
        <v/>
      </c>
      <c r="S57" s="190" t="str">
        <f t="shared" si="8"/>
        <v/>
      </c>
      <c r="T57" s="190" t="str">
        <f t="shared" si="8"/>
        <v/>
      </c>
      <c r="U57" s="204" t="s">
        <v>27</v>
      </c>
      <c r="W57" s="1042"/>
      <c r="X57" s="1043"/>
    </row>
    <row r="58" spans="1:28" s="3" customFormat="1" ht="15" customHeight="1" thickTop="1" x14ac:dyDescent="0.2">
      <c r="A58" s="622"/>
      <c r="B58" s="490" t="s">
        <v>37</v>
      </c>
      <c r="C58" s="491"/>
      <c r="D58" s="491"/>
      <c r="E58" s="491"/>
      <c r="F58" s="491"/>
      <c r="G58" s="492"/>
      <c r="H58" s="79" t="s">
        <v>788</v>
      </c>
      <c r="I58" s="94" t="s">
        <v>10</v>
      </c>
      <c r="J58" s="263"/>
      <c r="K58" s="264"/>
      <c r="L58" s="662" t="s">
        <v>751</v>
      </c>
      <c r="M58" s="487"/>
      <c r="N58" s="468" t="s">
        <v>751</v>
      </c>
      <c r="O58" s="469"/>
      <c r="P58" s="468" t="s">
        <v>751</v>
      </c>
      <c r="Q58" s="469"/>
      <c r="R58" s="468" t="s">
        <v>751</v>
      </c>
      <c r="S58" s="469"/>
      <c r="T58" s="468" t="s">
        <v>751</v>
      </c>
      <c r="U58" s="701"/>
      <c r="W58" s="1044" t="s">
        <v>86</v>
      </c>
      <c r="X58" s="1045"/>
    </row>
    <row r="59" spans="1:28" s="3" customFormat="1" ht="15" customHeight="1" x14ac:dyDescent="0.2">
      <c r="A59" s="622"/>
      <c r="B59" s="488" t="s">
        <v>41</v>
      </c>
      <c r="C59" s="428"/>
      <c r="D59" s="428"/>
      <c r="E59" s="428"/>
      <c r="F59" s="428"/>
      <c r="G59" s="489"/>
      <c r="H59" s="95"/>
      <c r="I59" s="96"/>
      <c r="J59" s="265"/>
      <c r="K59" s="251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046"/>
      <c r="X59" s="1047"/>
    </row>
    <row r="60" spans="1:28" s="3" customFormat="1" ht="15" customHeight="1" x14ac:dyDescent="0.2">
      <c r="A60" s="622"/>
      <c r="B60" s="473"/>
      <c r="C60" s="474"/>
      <c r="D60" s="474"/>
      <c r="E60" s="474"/>
      <c r="F60" s="474"/>
      <c r="G60" s="475"/>
      <c r="H60" s="496" t="s">
        <v>786</v>
      </c>
      <c r="I60" s="496"/>
      <c r="J60" s="496"/>
      <c r="K60" s="497"/>
      <c r="L60" s="295"/>
      <c r="M60" s="296"/>
      <c r="N60" s="296"/>
      <c r="O60" s="296"/>
      <c r="P60" s="296"/>
      <c r="Q60" s="296"/>
      <c r="R60" s="296"/>
      <c r="S60" s="296"/>
      <c r="T60" s="299"/>
      <c r="U60" s="203" t="s">
        <v>26</v>
      </c>
      <c r="W60" s="1046"/>
      <c r="X60" s="1047"/>
    </row>
    <row r="61" spans="1:28" s="3" customFormat="1" ht="15" customHeight="1" thickBot="1" x14ac:dyDescent="0.25">
      <c r="A61" s="622"/>
      <c r="B61" s="698"/>
      <c r="C61" s="699"/>
      <c r="D61" s="699"/>
      <c r="E61" s="699"/>
      <c r="F61" s="699"/>
      <c r="G61" s="700"/>
      <c r="H61" s="498" t="s">
        <v>40</v>
      </c>
      <c r="I61" s="498"/>
      <c r="J61" s="498"/>
      <c r="K61" s="499"/>
      <c r="L61" s="189" t="str">
        <f>IF(L60="","",CONVERT(L60,"cm","m")*2)</f>
        <v/>
      </c>
      <c r="M61" s="190" t="str">
        <f>IF(M60="","",CONVERT(M60,"cm","m")*2)</f>
        <v/>
      </c>
      <c r="N61" s="190" t="str">
        <f t="shared" ref="N61:T61" si="9">IF(N60="","",CONVERT(N60,"cm","m")*2)</f>
        <v/>
      </c>
      <c r="O61" s="190" t="str">
        <f t="shared" si="9"/>
        <v/>
      </c>
      <c r="P61" s="190" t="str">
        <f t="shared" si="9"/>
        <v/>
      </c>
      <c r="Q61" s="190" t="str">
        <f t="shared" si="9"/>
        <v/>
      </c>
      <c r="R61" s="190" t="str">
        <f t="shared" si="9"/>
        <v/>
      </c>
      <c r="S61" s="190" t="str">
        <f t="shared" si="9"/>
        <v/>
      </c>
      <c r="T61" s="190" t="str">
        <f t="shared" si="9"/>
        <v/>
      </c>
      <c r="U61" s="204" t="s">
        <v>27</v>
      </c>
      <c r="W61" s="1048"/>
      <c r="X61" s="1049"/>
    </row>
    <row r="62" spans="1:28" s="3" customFormat="1" ht="15" customHeight="1" thickTop="1" x14ac:dyDescent="0.2">
      <c r="A62" s="622"/>
      <c r="B62" s="490" t="s">
        <v>45</v>
      </c>
      <c r="C62" s="491"/>
      <c r="D62" s="491"/>
      <c r="E62" s="491"/>
      <c r="F62" s="491"/>
      <c r="G62" s="492"/>
      <c r="H62" s="63" t="s">
        <v>789</v>
      </c>
      <c r="I62" s="94" t="s">
        <v>10</v>
      </c>
      <c r="J62" s="263"/>
      <c r="K62" s="264"/>
      <c r="L62" s="694" t="s">
        <v>750</v>
      </c>
      <c r="M62" s="469"/>
      <c r="N62" s="486"/>
      <c r="O62" s="487"/>
      <c r="P62" s="486"/>
      <c r="Q62" s="487"/>
      <c r="R62" s="486"/>
      <c r="S62" s="487"/>
      <c r="T62" s="486"/>
      <c r="U62" s="664"/>
      <c r="W62" s="1036" t="s">
        <v>87</v>
      </c>
      <c r="X62" s="1037"/>
      <c r="Y62" s="10"/>
      <c r="Z62" s="10"/>
      <c r="AA62" s="10"/>
    </row>
    <row r="63" spans="1:28" s="3" customFormat="1" ht="15" customHeight="1" x14ac:dyDescent="0.2">
      <c r="A63" s="622"/>
      <c r="B63" s="1050" t="s">
        <v>41</v>
      </c>
      <c r="C63" s="1051"/>
      <c r="D63" s="1051"/>
      <c r="E63" s="1051"/>
      <c r="F63" s="1051"/>
      <c r="G63" s="1052"/>
      <c r="H63" s="92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038"/>
      <c r="X63" s="1039"/>
      <c r="Y63" s="10"/>
      <c r="Z63" s="10"/>
      <c r="AA63" s="10"/>
    </row>
    <row r="64" spans="1:28" s="3" customFormat="1" ht="15" customHeight="1" x14ac:dyDescent="0.2">
      <c r="A64" s="622"/>
      <c r="B64" s="473"/>
      <c r="C64" s="474"/>
      <c r="D64" s="474"/>
      <c r="E64" s="474"/>
      <c r="F64" s="474"/>
      <c r="G64" s="475"/>
      <c r="H64" s="496" t="s">
        <v>70</v>
      </c>
      <c r="I64" s="496"/>
      <c r="J64" s="496"/>
      <c r="K64" s="497"/>
      <c r="L64" s="295"/>
      <c r="M64" s="296"/>
      <c r="N64" s="296"/>
      <c r="O64" s="296"/>
      <c r="P64" s="296"/>
      <c r="Q64" s="296"/>
      <c r="R64" s="296"/>
      <c r="S64" s="296"/>
      <c r="T64" s="300"/>
      <c r="U64" s="203" t="s">
        <v>26</v>
      </c>
      <c r="W64" s="1038"/>
      <c r="X64" s="1039"/>
      <c r="Y64" s="10"/>
      <c r="AA64" s="10"/>
    </row>
    <row r="65" spans="1:27" s="3" customFormat="1" ht="15" customHeight="1" thickBot="1" x14ac:dyDescent="0.25">
      <c r="A65" s="622"/>
      <c r="B65" s="698"/>
      <c r="C65" s="699"/>
      <c r="D65" s="699"/>
      <c r="E65" s="699"/>
      <c r="F65" s="699"/>
      <c r="G65" s="700"/>
      <c r="H65" s="498" t="s">
        <v>40</v>
      </c>
      <c r="I65" s="498"/>
      <c r="J65" s="498"/>
      <c r="K65" s="499"/>
      <c r="L65" s="191" t="str">
        <f>IF(L64="","",CONVERT(L64,"cm","m"))</f>
        <v/>
      </c>
      <c r="M65" s="190" t="str">
        <f>IF(M64="","",CONVERT(M64,"cm","m"))</f>
        <v/>
      </c>
      <c r="N65" s="190" t="str">
        <f t="shared" ref="N65:T65" si="10">IF(N64="","",CONVERT(N64,"cm","m"))</f>
        <v/>
      </c>
      <c r="O65" s="190" t="str">
        <f t="shared" si="10"/>
        <v/>
      </c>
      <c r="P65" s="190" t="str">
        <f t="shared" si="10"/>
        <v/>
      </c>
      <c r="Q65" s="190" t="str">
        <f t="shared" si="10"/>
        <v/>
      </c>
      <c r="R65" s="190" t="str">
        <f t="shared" si="10"/>
        <v/>
      </c>
      <c r="S65" s="190" t="str">
        <f t="shared" si="10"/>
        <v/>
      </c>
      <c r="T65" s="190" t="str">
        <f t="shared" si="10"/>
        <v/>
      </c>
      <c r="U65" s="204" t="s">
        <v>27</v>
      </c>
      <c r="W65" s="1040"/>
      <c r="X65" s="1041"/>
      <c r="Y65" s="10"/>
      <c r="AA65" s="10"/>
    </row>
    <row r="66" spans="1:27" s="3" customFormat="1" ht="15" customHeight="1" thickTop="1" x14ac:dyDescent="0.2">
      <c r="A66" s="622"/>
      <c r="B66" s="490" t="s">
        <v>45</v>
      </c>
      <c r="C66" s="491"/>
      <c r="D66" s="491"/>
      <c r="E66" s="491"/>
      <c r="F66" s="491"/>
      <c r="G66" s="492"/>
      <c r="H66" s="63" t="s">
        <v>789</v>
      </c>
      <c r="I66" s="94" t="s">
        <v>10</v>
      </c>
      <c r="J66" s="263"/>
      <c r="K66" s="264"/>
      <c r="L66" s="694" t="s">
        <v>750</v>
      </c>
      <c r="M66" s="469"/>
      <c r="N66" s="486"/>
      <c r="O66" s="487"/>
      <c r="P66" s="486"/>
      <c r="Q66" s="487"/>
      <c r="R66" s="486"/>
      <c r="S66" s="487"/>
      <c r="T66" s="486"/>
      <c r="U66" s="664"/>
      <c r="W66" s="1053" t="s">
        <v>88</v>
      </c>
      <c r="X66" s="1054"/>
      <c r="Y66" s="10"/>
      <c r="Z66" s="10"/>
      <c r="AA66" s="10"/>
    </row>
    <row r="67" spans="1:27" s="3" customFormat="1" ht="15" customHeight="1" x14ac:dyDescent="0.2">
      <c r="A67" s="622"/>
      <c r="B67" s="1050" t="s">
        <v>41</v>
      </c>
      <c r="C67" s="1051"/>
      <c r="D67" s="1051"/>
      <c r="E67" s="1051"/>
      <c r="F67" s="1051"/>
      <c r="G67" s="1052"/>
      <c r="H67" s="92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1055"/>
      <c r="X67" s="1056"/>
      <c r="Y67" s="10"/>
      <c r="Z67" s="10"/>
      <c r="AA67" s="10"/>
    </row>
    <row r="68" spans="1:27" s="3" customFormat="1" ht="15" customHeight="1" x14ac:dyDescent="0.2">
      <c r="A68" s="622"/>
      <c r="B68" s="473"/>
      <c r="C68" s="474"/>
      <c r="D68" s="474"/>
      <c r="E68" s="474"/>
      <c r="F68" s="474"/>
      <c r="G68" s="475"/>
      <c r="H68" s="496" t="s">
        <v>786</v>
      </c>
      <c r="I68" s="496"/>
      <c r="J68" s="496"/>
      <c r="K68" s="497"/>
      <c r="L68" s="295"/>
      <c r="M68" s="296"/>
      <c r="N68" s="296"/>
      <c r="O68" s="296"/>
      <c r="P68" s="296"/>
      <c r="Q68" s="296"/>
      <c r="R68" s="296"/>
      <c r="S68" s="296"/>
      <c r="T68" s="300"/>
      <c r="U68" s="203" t="s">
        <v>26</v>
      </c>
      <c r="W68" s="1055"/>
      <c r="X68" s="1056"/>
      <c r="Y68" s="10"/>
      <c r="AA68" s="10"/>
    </row>
    <row r="69" spans="1:27" s="3" customFormat="1" ht="15" customHeight="1" thickBot="1" x14ac:dyDescent="0.25">
      <c r="A69" s="622"/>
      <c r="B69" s="698"/>
      <c r="C69" s="699"/>
      <c r="D69" s="699"/>
      <c r="E69" s="699"/>
      <c r="F69" s="699"/>
      <c r="G69" s="700"/>
      <c r="H69" s="498" t="s">
        <v>40</v>
      </c>
      <c r="I69" s="498"/>
      <c r="J69" s="498"/>
      <c r="K69" s="499"/>
      <c r="L69" s="191" t="str">
        <f>IF(L68="","",CONVERT(L68,"cm","m")*2)</f>
        <v/>
      </c>
      <c r="M69" s="190" t="str">
        <f>IF(M68="","",CONVERT(M68,"cm","m")*2)</f>
        <v/>
      </c>
      <c r="N69" s="190" t="str">
        <f t="shared" ref="N69:T69" si="11">IF(N68="","",CONVERT(N68,"cm","m")*2)</f>
        <v/>
      </c>
      <c r="O69" s="190" t="str">
        <f t="shared" si="11"/>
        <v/>
      </c>
      <c r="P69" s="190" t="str">
        <f t="shared" si="11"/>
        <v/>
      </c>
      <c r="Q69" s="190" t="str">
        <f t="shared" si="11"/>
        <v/>
      </c>
      <c r="R69" s="190" t="str">
        <f t="shared" si="11"/>
        <v/>
      </c>
      <c r="S69" s="190" t="str">
        <f t="shared" si="11"/>
        <v/>
      </c>
      <c r="T69" s="190" t="str">
        <f t="shared" si="11"/>
        <v/>
      </c>
      <c r="U69" s="204" t="s">
        <v>27</v>
      </c>
      <c r="W69" s="1057"/>
      <c r="X69" s="1058"/>
      <c r="Y69" s="10"/>
      <c r="AA69" s="10"/>
    </row>
    <row r="70" spans="1:27" s="3" customFormat="1" ht="15" customHeight="1" thickTop="1" x14ac:dyDescent="0.2">
      <c r="A70" s="622"/>
      <c r="B70" s="490" t="s">
        <v>48</v>
      </c>
      <c r="C70" s="491"/>
      <c r="D70" s="491"/>
      <c r="E70" s="491"/>
      <c r="F70" s="491"/>
      <c r="G70" s="492"/>
      <c r="H70" s="63" t="s">
        <v>787</v>
      </c>
      <c r="I70" s="94" t="s">
        <v>10</v>
      </c>
      <c r="J70" s="263"/>
      <c r="K70" s="264"/>
      <c r="L70" s="694" t="s">
        <v>750</v>
      </c>
      <c r="M70" s="469"/>
      <c r="N70" s="486"/>
      <c r="O70" s="487"/>
      <c r="P70" s="486"/>
      <c r="Q70" s="487"/>
      <c r="R70" s="486"/>
      <c r="S70" s="487"/>
      <c r="T70" s="486"/>
      <c r="U70" s="664"/>
      <c r="W70" s="1059" t="s">
        <v>89</v>
      </c>
      <c r="X70" s="1060"/>
      <c r="Y70" s="10"/>
      <c r="Z70" s="10"/>
      <c r="AA70" s="10"/>
    </row>
    <row r="71" spans="1:27" s="3" customFormat="1" ht="15" customHeight="1" x14ac:dyDescent="0.2">
      <c r="A71" s="622"/>
      <c r="B71" s="1050" t="s">
        <v>43</v>
      </c>
      <c r="C71" s="1051"/>
      <c r="D71" s="1051"/>
      <c r="E71" s="1051"/>
      <c r="F71" s="1051"/>
      <c r="G71" s="1052"/>
      <c r="H71" s="92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1061"/>
      <c r="X71" s="1062"/>
    </row>
    <row r="72" spans="1:27" s="3" customFormat="1" ht="15" customHeight="1" x14ac:dyDescent="0.2">
      <c r="A72" s="622"/>
      <c r="B72" s="473"/>
      <c r="C72" s="474"/>
      <c r="D72" s="474"/>
      <c r="E72" s="474"/>
      <c r="F72" s="474"/>
      <c r="G72" s="475"/>
      <c r="H72" s="496" t="s">
        <v>70</v>
      </c>
      <c r="I72" s="496"/>
      <c r="J72" s="496"/>
      <c r="K72" s="497"/>
      <c r="L72" s="295"/>
      <c r="M72" s="296"/>
      <c r="N72" s="296"/>
      <c r="O72" s="296"/>
      <c r="P72" s="296"/>
      <c r="Q72" s="296"/>
      <c r="R72" s="296"/>
      <c r="S72" s="296"/>
      <c r="T72" s="300"/>
      <c r="U72" s="203" t="s">
        <v>26</v>
      </c>
      <c r="W72" s="1061"/>
      <c r="X72" s="1062"/>
    </row>
    <row r="73" spans="1:27" s="3" customFormat="1" ht="15" customHeight="1" thickBot="1" x14ac:dyDescent="0.25">
      <c r="A73" s="622"/>
      <c r="B73" s="357"/>
      <c r="C73" s="358"/>
      <c r="D73" s="358"/>
      <c r="E73" s="358"/>
      <c r="F73" s="358"/>
      <c r="G73" s="541"/>
      <c r="H73" s="1065" t="s">
        <v>40</v>
      </c>
      <c r="I73" s="1065"/>
      <c r="J73" s="1065"/>
      <c r="K73" s="1066"/>
      <c r="L73" s="187" t="str">
        <f>IF(L72="","",CONVERT(L72,"cm","m"))</f>
        <v/>
      </c>
      <c r="M73" s="188" t="str">
        <f>IF(M72="","",CONVERT(M72,"cm","m"))</f>
        <v/>
      </c>
      <c r="N73" s="188" t="str">
        <f t="shared" ref="N73:T73" si="12">IF(N72="","",CONVERT(N72,"cm","m"))</f>
        <v/>
      </c>
      <c r="O73" s="188" t="str">
        <f t="shared" si="12"/>
        <v/>
      </c>
      <c r="P73" s="188" t="str">
        <f t="shared" si="12"/>
        <v/>
      </c>
      <c r="Q73" s="188" t="str">
        <f t="shared" si="12"/>
        <v/>
      </c>
      <c r="R73" s="188" t="str">
        <f t="shared" si="12"/>
        <v/>
      </c>
      <c r="S73" s="188" t="str">
        <f t="shared" si="12"/>
        <v/>
      </c>
      <c r="T73" s="188" t="str">
        <f t="shared" si="12"/>
        <v/>
      </c>
      <c r="U73" s="205" t="s">
        <v>27</v>
      </c>
      <c r="W73" s="1063"/>
      <c r="X73" s="1064"/>
    </row>
    <row r="74" spans="1:27" s="3" customFormat="1" ht="15" customHeight="1" thickTop="1" x14ac:dyDescent="0.2">
      <c r="A74" s="622"/>
      <c r="B74" s="490" t="s">
        <v>48</v>
      </c>
      <c r="C74" s="491"/>
      <c r="D74" s="491"/>
      <c r="E74" s="491"/>
      <c r="F74" s="491"/>
      <c r="G74" s="492"/>
      <c r="H74" s="63" t="s">
        <v>787</v>
      </c>
      <c r="I74" s="94" t="s">
        <v>10</v>
      </c>
      <c r="J74" s="263"/>
      <c r="K74" s="264"/>
      <c r="L74" s="694" t="s">
        <v>750</v>
      </c>
      <c r="M74" s="469"/>
      <c r="N74" s="486"/>
      <c r="O74" s="487"/>
      <c r="P74" s="486"/>
      <c r="Q74" s="487"/>
      <c r="R74" s="486"/>
      <c r="S74" s="487"/>
      <c r="T74" s="486"/>
      <c r="U74" s="664"/>
      <c r="W74" s="1067" t="s">
        <v>90</v>
      </c>
      <c r="X74" s="1068"/>
    </row>
    <row r="75" spans="1:27" s="3" customFormat="1" ht="15" customHeight="1" x14ac:dyDescent="0.2">
      <c r="A75" s="622"/>
      <c r="B75" s="1050" t="s">
        <v>43</v>
      </c>
      <c r="C75" s="1051"/>
      <c r="D75" s="1051"/>
      <c r="E75" s="1051"/>
      <c r="F75" s="1051"/>
      <c r="G75" s="1052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1069"/>
      <c r="X75" s="1070"/>
    </row>
    <row r="76" spans="1:27" s="3" customFormat="1" ht="15" customHeight="1" x14ac:dyDescent="0.2">
      <c r="A76" s="622"/>
      <c r="B76" s="473"/>
      <c r="C76" s="474"/>
      <c r="D76" s="474"/>
      <c r="E76" s="474"/>
      <c r="F76" s="474"/>
      <c r="G76" s="475"/>
      <c r="H76" s="496" t="s">
        <v>786</v>
      </c>
      <c r="I76" s="496"/>
      <c r="J76" s="496"/>
      <c r="K76" s="497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1069"/>
      <c r="X76" s="1070"/>
    </row>
    <row r="77" spans="1:27" s="3" customFormat="1" ht="15" customHeight="1" thickBot="1" x14ac:dyDescent="0.25">
      <c r="A77" s="622"/>
      <c r="B77" s="360"/>
      <c r="C77" s="361"/>
      <c r="D77" s="361"/>
      <c r="E77" s="361"/>
      <c r="F77" s="361"/>
      <c r="G77" s="1144"/>
      <c r="H77" s="1074" t="s">
        <v>40</v>
      </c>
      <c r="I77" s="1074"/>
      <c r="J77" s="1074"/>
      <c r="K77" s="1075"/>
      <c r="L77" s="187" t="str">
        <f>IF(L76="","",CONVERT(L76,"cm","m")*2)</f>
        <v/>
      </c>
      <c r="M77" s="188" t="str">
        <f>IF(M76="","",CONVERT(M76,"cm","m")*2)</f>
        <v/>
      </c>
      <c r="N77" s="188" t="str">
        <f t="shared" ref="N77:T77" si="13">IF(N76="","",CONVERT(N76,"cm","m")*2)</f>
        <v/>
      </c>
      <c r="O77" s="188" t="str">
        <f t="shared" si="13"/>
        <v/>
      </c>
      <c r="P77" s="188" t="str">
        <f t="shared" si="13"/>
        <v/>
      </c>
      <c r="Q77" s="188" t="str">
        <f t="shared" si="13"/>
        <v/>
      </c>
      <c r="R77" s="188" t="str">
        <f t="shared" si="13"/>
        <v/>
      </c>
      <c r="S77" s="188" t="str">
        <f t="shared" si="13"/>
        <v/>
      </c>
      <c r="T77" s="188" t="str">
        <f t="shared" si="13"/>
        <v/>
      </c>
      <c r="U77" s="205" t="s">
        <v>27</v>
      </c>
      <c r="W77" s="1071"/>
      <c r="X77" s="1072"/>
    </row>
    <row r="78" spans="1:27" s="3" customFormat="1" ht="15" customHeight="1" thickTop="1" x14ac:dyDescent="0.2">
      <c r="A78" s="622"/>
      <c r="B78" s="1145" t="s">
        <v>53</v>
      </c>
      <c r="C78" s="1146"/>
      <c r="D78" s="1146"/>
      <c r="E78" s="1146"/>
      <c r="F78" s="1146"/>
      <c r="G78" s="1147"/>
      <c r="H78" s="123" t="s">
        <v>790</v>
      </c>
      <c r="I78" s="113" t="s">
        <v>60</v>
      </c>
      <c r="J78" s="749">
        <v>1</v>
      </c>
      <c r="K78" s="752">
        <v>1</v>
      </c>
      <c r="L78" s="908"/>
      <c r="M78" s="909"/>
      <c r="N78" s="910"/>
      <c r="O78" s="909"/>
      <c r="P78" s="910"/>
      <c r="Q78" s="909"/>
      <c r="R78" s="910"/>
      <c r="S78" s="909"/>
      <c r="T78" s="669" t="s">
        <v>64</v>
      </c>
      <c r="U78" s="670"/>
      <c r="W78" s="1076" t="s">
        <v>140</v>
      </c>
      <c r="X78" s="1077"/>
    </row>
    <row r="79" spans="1:27" s="3" customFormat="1" ht="15" customHeight="1" x14ac:dyDescent="0.2">
      <c r="A79" s="622"/>
      <c r="B79" s="476" t="s">
        <v>75</v>
      </c>
      <c r="C79" s="477"/>
      <c r="D79" s="477"/>
      <c r="E79" s="477"/>
      <c r="F79" s="477"/>
      <c r="G79" s="478"/>
      <c r="H79" s="112"/>
      <c r="I79" s="113" t="s">
        <v>61</v>
      </c>
      <c r="J79" s="749"/>
      <c r="K79" s="752"/>
      <c r="L79" s="921"/>
      <c r="M79" s="922"/>
      <c r="N79" s="923"/>
      <c r="O79" s="922"/>
      <c r="P79" s="923"/>
      <c r="Q79" s="922"/>
      <c r="R79" s="923"/>
      <c r="S79" s="922"/>
      <c r="T79" s="606" t="s">
        <v>63</v>
      </c>
      <c r="U79" s="607"/>
      <c r="W79" s="1078"/>
      <c r="X79" s="1079"/>
    </row>
    <row r="80" spans="1:27" s="3" customFormat="1" ht="15" customHeight="1" x14ac:dyDescent="0.2">
      <c r="A80" s="622"/>
      <c r="B80" s="476" t="s">
        <v>794</v>
      </c>
      <c r="C80" s="477"/>
      <c r="D80" s="477"/>
      <c r="E80" s="477"/>
      <c r="F80" s="477"/>
      <c r="G80" s="478"/>
      <c r="H80" s="112"/>
      <c r="I80" s="113" t="s">
        <v>62</v>
      </c>
      <c r="J80" s="749"/>
      <c r="K80" s="752"/>
      <c r="L80" s="924"/>
      <c r="M80" s="925"/>
      <c r="N80" s="926"/>
      <c r="O80" s="925"/>
      <c r="P80" s="926"/>
      <c r="Q80" s="925"/>
      <c r="R80" s="926"/>
      <c r="S80" s="925"/>
      <c r="T80" s="610" t="s">
        <v>52</v>
      </c>
      <c r="U80" s="611"/>
      <c r="W80" s="1078"/>
      <c r="X80" s="1079"/>
    </row>
    <row r="81" spans="1:24" s="3" customFormat="1" ht="15" customHeight="1" x14ac:dyDescent="0.2">
      <c r="A81" s="622"/>
      <c r="B81" s="454" t="s">
        <v>68</v>
      </c>
      <c r="C81" s="455"/>
      <c r="D81" s="455"/>
      <c r="E81" s="455"/>
      <c r="F81" s="455"/>
      <c r="G81" s="456"/>
      <c r="H81" s="112"/>
      <c r="I81" s="113" t="s">
        <v>54</v>
      </c>
      <c r="J81" s="749"/>
      <c r="K81" s="752"/>
      <c r="L81" s="432"/>
      <c r="M81" s="433"/>
      <c r="N81" s="434"/>
      <c r="O81" s="433"/>
      <c r="P81" s="434"/>
      <c r="Q81" s="433"/>
      <c r="R81" s="434"/>
      <c r="S81" s="433"/>
      <c r="T81" s="762" t="s">
        <v>65</v>
      </c>
      <c r="U81" s="763"/>
      <c r="W81" s="1078"/>
      <c r="X81" s="1079"/>
    </row>
    <row r="82" spans="1:24" s="3" customFormat="1" ht="15" customHeight="1" x14ac:dyDescent="0.2">
      <c r="A82" s="622"/>
      <c r="B82" s="521"/>
      <c r="C82" s="522"/>
      <c r="D82" s="522"/>
      <c r="E82" s="522"/>
      <c r="F82" s="522"/>
      <c r="G82" s="523"/>
      <c r="H82" s="112"/>
      <c r="I82" s="113" t="s">
        <v>55</v>
      </c>
      <c r="J82" s="749"/>
      <c r="K82" s="752"/>
      <c r="L82" s="540"/>
      <c r="M82" s="458"/>
      <c r="N82" s="457"/>
      <c r="O82" s="458"/>
      <c r="P82" s="457"/>
      <c r="Q82" s="458"/>
      <c r="R82" s="457"/>
      <c r="S82" s="458"/>
      <c r="T82" s="608" t="s">
        <v>66</v>
      </c>
      <c r="U82" s="609"/>
      <c r="W82" s="1078"/>
      <c r="X82" s="1079"/>
    </row>
    <row r="83" spans="1:24" s="3" customFormat="1" ht="15" customHeight="1" x14ac:dyDescent="0.2">
      <c r="A83" s="622"/>
      <c r="B83" s="357"/>
      <c r="C83" s="358"/>
      <c r="D83" s="358"/>
      <c r="E83" s="358"/>
      <c r="F83" s="358"/>
      <c r="G83" s="541"/>
      <c r="H83" s="114"/>
      <c r="I83" s="113" t="s">
        <v>56</v>
      </c>
      <c r="J83" s="749"/>
      <c r="K83" s="752"/>
      <c r="L83" s="524"/>
      <c r="M83" s="525"/>
      <c r="N83" s="539"/>
      <c r="O83" s="525"/>
      <c r="P83" s="539"/>
      <c r="Q83" s="525"/>
      <c r="R83" s="539"/>
      <c r="S83" s="525"/>
      <c r="T83" s="610" t="s">
        <v>67</v>
      </c>
      <c r="U83" s="611"/>
      <c r="W83" s="1078"/>
      <c r="X83" s="1079"/>
    </row>
    <row r="84" spans="1:24" s="3" customFormat="1" ht="15" customHeight="1" x14ac:dyDescent="0.2">
      <c r="A84" s="622"/>
      <c r="B84" s="357"/>
      <c r="C84" s="358"/>
      <c r="D84" s="358"/>
      <c r="E84" s="358"/>
      <c r="F84" s="358"/>
      <c r="G84" s="541"/>
      <c r="H84" s="114"/>
      <c r="I84" s="113" t="s">
        <v>57</v>
      </c>
      <c r="J84" s="749"/>
      <c r="K84" s="752"/>
      <c r="L84" s="179" t="s">
        <v>21</v>
      </c>
      <c r="M84" s="179" t="s">
        <v>753</v>
      </c>
      <c r="N84" s="179" t="s">
        <v>760</v>
      </c>
      <c r="O84" s="179" t="s">
        <v>776</v>
      </c>
      <c r="P84" s="179" t="s">
        <v>761</v>
      </c>
      <c r="Q84" s="179" t="s">
        <v>762</v>
      </c>
      <c r="R84" s="179" t="s">
        <v>1315</v>
      </c>
      <c r="S84" s="179" t="s">
        <v>1316</v>
      </c>
      <c r="T84" s="179" t="s">
        <v>1317</v>
      </c>
      <c r="U84" s="162" t="s">
        <v>25</v>
      </c>
      <c r="W84" s="1078"/>
      <c r="X84" s="1079"/>
    </row>
    <row r="85" spans="1:24" s="3" customFormat="1" ht="15" customHeight="1" x14ac:dyDescent="0.2">
      <c r="A85" s="622"/>
      <c r="B85" s="505"/>
      <c r="C85" s="506"/>
      <c r="D85" s="506"/>
      <c r="E85" s="506"/>
      <c r="F85" s="506"/>
      <c r="G85" s="507"/>
      <c r="H85" s="114"/>
      <c r="I85" s="217" t="s">
        <v>58</v>
      </c>
      <c r="J85" s="749"/>
      <c r="K85" s="752"/>
      <c r="L85" s="1158" t="s">
        <v>104</v>
      </c>
      <c r="M85" s="1157" t="s">
        <v>105</v>
      </c>
      <c r="N85" s="1157" t="s">
        <v>106</v>
      </c>
      <c r="O85" s="1157" t="s">
        <v>107</v>
      </c>
      <c r="P85" s="1157" t="s">
        <v>108</v>
      </c>
      <c r="Q85" s="1157" t="s">
        <v>109</v>
      </c>
      <c r="R85" s="1157" t="s">
        <v>110</v>
      </c>
      <c r="S85" s="1102" t="s">
        <v>111</v>
      </c>
      <c r="T85" s="1102" t="s">
        <v>1265</v>
      </c>
      <c r="U85" s="761" t="s">
        <v>44</v>
      </c>
      <c r="W85" s="1078"/>
      <c r="X85" s="1079"/>
    </row>
    <row r="86" spans="1:24" s="3" customFormat="1" ht="15" customHeight="1" thickBot="1" x14ac:dyDescent="0.25">
      <c r="A86" s="622"/>
      <c r="B86" s="451"/>
      <c r="C86" s="452"/>
      <c r="D86" s="452"/>
      <c r="E86" s="452"/>
      <c r="F86" s="452"/>
      <c r="G86" s="453"/>
      <c r="H86" s="117"/>
      <c r="I86" s="118" t="s">
        <v>1267</v>
      </c>
      <c r="J86" s="750"/>
      <c r="K86" s="753"/>
      <c r="L86" s="1101"/>
      <c r="M86" s="1103"/>
      <c r="N86" s="1103"/>
      <c r="O86" s="1103"/>
      <c r="P86" s="1103"/>
      <c r="Q86" s="1103"/>
      <c r="R86" s="1103"/>
      <c r="S86" s="1103"/>
      <c r="T86" s="1103"/>
      <c r="U86" s="760"/>
      <c r="W86" s="1078"/>
      <c r="X86" s="1079"/>
    </row>
    <row r="87" spans="1:24" s="3" customFormat="1" ht="15" customHeight="1" thickTop="1" x14ac:dyDescent="0.25">
      <c r="A87" s="622"/>
      <c r="B87" s="493" t="s">
        <v>53</v>
      </c>
      <c r="C87" s="494"/>
      <c r="D87" s="494"/>
      <c r="E87" s="494"/>
      <c r="F87" s="494"/>
      <c r="G87" s="495"/>
      <c r="H87" s="110" t="s">
        <v>790</v>
      </c>
      <c r="I87" s="176" t="s">
        <v>82</v>
      </c>
      <c r="J87" s="748">
        <v>1</v>
      </c>
      <c r="K87" s="751">
        <v>1</v>
      </c>
      <c r="L87" s="908"/>
      <c r="M87" s="909"/>
      <c r="N87" s="910"/>
      <c r="O87" s="909"/>
      <c r="P87" s="910"/>
      <c r="Q87" s="909"/>
      <c r="R87" s="910"/>
      <c r="S87" s="909"/>
      <c r="T87" s="669" t="s">
        <v>64</v>
      </c>
      <c r="U87" s="670"/>
      <c r="W87" s="1080" t="s">
        <v>91</v>
      </c>
      <c r="X87" s="1081"/>
    </row>
    <row r="88" spans="1:24" s="3" customFormat="1" ht="15" customHeight="1" x14ac:dyDescent="0.25">
      <c r="A88" s="622"/>
      <c r="B88" s="476" t="s">
        <v>73</v>
      </c>
      <c r="C88" s="477"/>
      <c r="D88" s="477"/>
      <c r="E88" s="477"/>
      <c r="F88" s="477"/>
      <c r="G88" s="478"/>
      <c r="H88" s="112"/>
      <c r="I88" s="176" t="s">
        <v>83</v>
      </c>
      <c r="J88" s="749"/>
      <c r="K88" s="752"/>
      <c r="L88" s="921"/>
      <c r="M88" s="922"/>
      <c r="N88" s="923"/>
      <c r="O88" s="922"/>
      <c r="P88" s="923"/>
      <c r="Q88" s="922"/>
      <c r="R88" s="923"/>
      <c r="S88" s="922"/>
      <c r="T88" s="606" t="s">
        <v>63</v>
      </c>
      <c r="U88" s="607"/>
      <c r="W88" s="1082"/>
      <c r="X88" s="1083"/>
    </row>
    <row r="89" spans="1:24" s="3" customFormat="1" ht="15" customHeight="1" x14ac:dyDescent="0.25">
      <c r="A89" s="622"/>
      <c r="B89" s="476" t="s">
        <v>794</v>
      </c>
      <c r="C89" s="477"/>
      <c r="D89" s="477"/>
      <c r="E89" s="477"/>
      <c r="F89" s="477"/>
      <c r="G89" s="478"/>
      <c r="H89" s="112"/>
      <c r="I89" s="176" t="s">
        <v>84</v>
      </c>
      <c r="J89" s="749"/>
      <c r="K89" s="752"/>
      <c r="L89" s="924"/>
      <c r="M89" s="925"/>
      <c r="N89" s="926"/>
      <c r="O89" s="925"/>
      <c r="P89" s="926"/>
      <c r="Q89" s="925"/>
      <c r="R89" s="926"/>
      <c r="S89" s="925"/>
      <c r="T89" s="610" t="s">
        <v>52</v>
      </c>
      <c r="U89" s="611"/>
      <c r="W89" s="1082"/>
      <c r="X89" s="1083"/>
    </row>
    <row r="90" spans="1:24" s="3" customFormat="1" ht="15" customHeight="1" x14ac:dyDescent="0.25">
      <c r="A90" s="622"/>
      <c r="B90" s="454" t="s">
        <v>68</v>
      </c>
      <c r="C90" s="455"/>
      <c r="D90" s="455"/>
      <c r="E90" s="455"/>
      <c r="F90" s="455"/>
      <c r="G90" s="456"/>
      <c r="H90" s="112"/>
      <c r="I90" s="176" t="s">
        <v>76</v>
      </c>
      <c r="J90" s="749"/>
      <c r="K90" s="752"/>
      <c r="L90" s="432"/>
      <c r="M90" s="433"/>
      <c r="N90" s="434"/>
      <c r="O90" s="433"/>
      <c r="P90" s="434"/>
      <c r="Q90" s="433"/>
      <c r="R90" s="434"/>
      <c r="S90" s="433"/>
      <c r="T90" s="762" t="s">
        <v>65</v>
      </c>
      <c r="U90" s="763"/>
      <c r="W90" s="1082"/>
      <c r="X90" s="1083"/>
    </row>
    <row r="91" spans="1:24" s="3" customFormat="1" ht="15" customHeight="1" x14ac:dyDescent="0.25">
      <c r="A91" s="622"/>
      <c r="B91" s="521"/>
      <c r="C91" s="522"/>
      <c r="D91" s="522"/>
      <c r="E91" s="522"/>
      <c r="F91" s="522"/>
      <c r="G91" s="523"/>
      <c r="H91" s="112"/>
      <c r="I91" s="176" t="s">
        <v>77</v>
      </c>
      <c r="J91" s="749"/>
      <c r="K91" s="752"/>
      <c r="L91" s="540"/>
      <c r="M91" s="458"/>
      <c r="N91" s="457"/>
      <c r="O91" s="458"/>
      <c r="P91" s="457"/>
      <c r="Q91" s="458"/>
      <c r="R91" s="457"/>
      <c r="S91" s="458"/>
      <c r="T91" s="608" t="s">
        <v>66</v>
      </c>
      <c r="U91" s="609"/>
      <c r="W91" s="1082"/>
      <c r="X91" s="1083"/>
    </row>
    <row r="92" spans="1:24" s="3" customFormat="1" ht="15" customHeight="1" x14ac:dyDescent="0.25">
      <c r="A92" s="622"/>
      <c r="B92" s="357"/>
      <c r="C92" s="358"/>
      <c r="D92" s="358"/>
      <c r="E92" s="358"/>
      <c r="F92" s="358"/>
      <c r="G92" s="541"/>
      <c r="H92" s="114"/>
      <c r="I92" s="176" t="s">
        <v>78</v>
      </c>
      <c r="J92" s="749"/>
      <c r="K92" s="752"/>
      <c r="L92" s="524"/>
      <c r="M92" s="525"/>
      <c r="N92" s="539"/>
      <c r="O92" s="525"/>
      <c r="P92" s="539"/>
      <c r="Q92" s="525"/>
      <c r="R92" s="539"/>
      <c r="S92" s="525"/>
      <c r="T92" s="610" t="s">
        <v>67</v>
      </c>
      <c r="U92" s="611"/>
      <c r="W92" s="1082"/>
      <c r="X92" s="1083"/>
    </row>
    <row r="93" spans="1:24" s="3" customFormat="1" ht="15" customHeight="1" x14ac:dyDescent="0.25">
      <c r="A93" s="622"/>
      <c r="B93" s="357"/>
      <c r="C93" s="358"/>
      <c r="D93" s="358"/>
      <c r="E93" s="358"/>
      <c r="F93" s="358"/>
      <c r="G93" s="541"/>
      <c r="H93" s="114"/>
      <c r="I93" s="176" t="s">
        <v>79</v>
      </c>
      <c r="J93" s="749"/>
      <c r="K93" s="752"/>
      <c r="L93" s="179" t="s">
        <v>21</v>
      </c>
      <c r="M93" s="179" t="s">
        <v>753</v>
      </c>
      <c r="N93" s="179" t="s">
        <v>760</v>
      </c>
      <c r="O93" s="179" t="s">
        <v>776</v>
      </c>
      <c r="P93" s="179" t="s">
        <v>761</v>
      </c>
      <c r="Q93" s="179" t="s">
        <v>762</v>
      </c>
      <c r="R93" s="179" t="s">
        <v>1315</v>
      </c>
      <c r="S93" s="179" t="s">
        <v>1316</v>
      </c>
      <c r="T93" s="179" t="s">
        <v>1317</v>
      </c>
      <c r="U93" s="162" t="s">
        <v>25</v>
      </c>
      <c r="V93" s="4"/>
      <c r="W93" s="1082"/>
      <c r="X93" s="1083"/>
    </row>
    <row r="94" spans="1:24" s="3" customFormat="1" ht="15" customHeight="1" x14ac:dyDescent="0.25">
      <c r="A94" s="622"/>
      <c r="B94" s="505"/>
      <c r="C94" s="506"/>
      <c r="D94" s="506"/>
      <c r="E94" s="506"/>
      <c r="F94" s="506"/>
      <c r="G94" s="507"/>
      <c r="H94" s="114"/>
      <c r="I94" s="301" t="s">
        <v>80</v>
      </c>
      <c r="J94" s="749"/>
      <c r="K94" s="752"/>
      <c r="L94" s="1158" t="s">
        <v>104</v>
      </c>
      <c r="M94" s="1157" t="s">
        <v>105</v>
      </c>
      <c r="N94" s="1157" t="s">
        <v>106</v>
      </c>
      <c r="O94" s="1157" t="s">
        <v>107</v>
      </c>
      <c r="P94" s="1157" t="s">
        <v>108</v>
      </c>
      <c r="Q94" s="1157" t="s">
        <v>109</v>
      </c>
      <c r="R94" s="1157" t="s">
        <v>110</v>
      </c>
      <c r="S94" s="1102" t="s">
        <v>111</v>
      </c>
      <c r="T94" s="1102" t="s">
        <v>1265</v>
      </c>
      <c r="U94" s="761" t="s">
        <v>44</v>
      </c>
      <c r="W94" s="1082"/>
      <c r="X94" s="1083"/>
    </row>
    <row r="95" spans="1:24" s="3" customFormat="1" ht="15" customHeight="1" thickBot="1" x14ac:dyDescent="0.3">
      <c r="A95" s="622"/>
      <c r="B95" s="451"/>
      <c r="C95" s="452"/>
      <c r="D95" s="452"/>
      <c r="E95" s="452"/>
      <c r="F95" s="452"/>
      <c r="G95" s="453"/>
      <c r="H95" s="117"/>
      <c r="I95" s="177" t="s">
        <v>1268</v>
      </c>
      <c r="J95" s="750"/>
      <c r="K95" s="753"/>
      <c r="L95" s="1101"/>
      <c r="M95" s="1103"/>
      <c r="N95" s="1103"/>
      <c r="O95" s="1103"/>
      <c r="P95" s="1103"/>
      <c r="Q95" s="1103"/>
      <c r="R95" s="1103"/>
      <c r="S95" s="1103"/>
      <c r="T95" s="1103"/>
      <c r="U95" s="760"/>
      <c r="W95" s="1082"/>
      <c r="X95" s="1083"/>
    </row>
    <row r="96" spans="1:24" s="3" customFormat="1" ht="15" customHeight="1" thickTop="1" x14ac:dyDescent="0.2">
      <c r="A96" s="622"/>
      <c r="B96" s="493" t="s">
        <v>53</v>
      </c>
      <c r="C96" s="494"/>
      <c r="D96" s="494"/>
      <c r="E96" s="494"/>
      <c r="F96" s="494"/>
      <c r="G96" s="495"/>
      <c r="H96" s="110" t="s">
        <v>790</v>
      </c>
      <c r="I96" s="113" t="s">
        <v>100</v>
      </c>
      <c r="J96" s="748">
        <v>1</v>
      </c>
      <c r="K96" s="751">
        <v>1</v>
      </c>
      <c r="L96" s="908"/>
      <c r="M96" s="909"/>
      <c r="N96" s="910"/>
      <c r="O96" s="909"/>
      <c r="P96" s="910"/>
      <c r="Q96" s="909"/>
      <c r="R96" s="910"/>
      <c r="S96" s="909"/>
      <c r="T96" s="669" t="s">
        <v>64</v>
      </c>
      <c r="U96" s="670"/>
      <c r="W96" s="1084" t="s">
        <v>92</v>
      </c>
      <c r="X96" s="1085"/>
    </row>
    <row r="97" spans="1:26" s="3" customFormat="1" ht="15" customHeight="1" x14ac:dyDescent="0.2">
      <c r="A97" s="622"/>
      <c r="B97" s="476" t="s">
        <v>93</v>
      </c>
      <c r="C97" s="477"/>
      <c r="D97" s="477"/>
      <c r="E97" s="477"/>
      <c r="F97" s="477"/>
      <c r="G97" s="478"/>
      <c r="H97" s="112"/>
      <c r="I97" s="113" t="s">
        <v>101</v>
      </c>
      <c r="J97" s="749"/>
      <c r="K97" s="752"/>
      <c r="L97" s="921"/>
      <c r="M97" s="922"/>
      <c r="N97" s="923"/>
      <c r="O97" s="922"/>
      <c r="P97" s="923"/>
      <c r="Q97" s="922"/>
      <c r="R97" s="923"/>
      <c r="S97" s="922"/>
      <c r="T97" s="606" t="s">
        <v>63</v>
      </c>
      <c r="U97" s="607"/>
      <c r="W97" s="1086"/>
      <c r="X97" s="1087"/>
    </row>
    <row r="98" spans="1:26" s="3" customFormat="1" ht="15" customHeight="1" x14ac:dyDescent="0.2">
      <c r="A98" s="622"/>
      <c r="B98" s="476" t="s">
        <v>793</v>
      </c>
      <c r="C98" s="477"/>
      <c r="D98" s="477"/>
      <c r="E98" s="477"/>
      <c r="F98" s="477"/>
      <c r="G98" s="478"/>
      <c r="H98" s="112"/>
      <c r="I98" s="113" t="s">
        <v>102</v>
      </c>
      <c r="J98" s="749"/>
      <c r="K98" s="752"/>
      <c r="L98" s="924"/>
      <c r="M98" s="925"/>
      <c r="N98" s="926"/>
      <c r="O98" s="925"/>
      <c r="P98" s="926"/>
      <c r="Q98" s="925"/>
      <c r="R98" s="926"/>
      <c r="S98" s="925"/>
      <c r="T98" s="610" t="s">
        <v>52</v>
      </c>
      <c r="U98" s="611"/>
      <c r="W98" s="1086"/>
      <c r="X98" s="1087"/>
    </row>
    <row r="99" spans="1:26" s="3" customFormat="1" ht="15" customHeight="1" x14ac:dyDescent="0.2">
      <c r="A99" s="622"/>
      <c r="B99" s="454" t="s">
        <v>68</v>
      </c>
      <c r="C99" s="455"/>
      <c r="D99" s="455"/>
      <c r="E99" s="455"/>
      <c r="F99" s="455"/>
      <c r="G99" s="456"/>
      <c r="H99" s="112"/>
      <c r="I99" s="113" t="s">
        <v>94</v>
      </c>
      <c r="J99" s="749"/>
      <c r="K99" s="752"/>
      <c r="L99" s="432"/>
      <c r="M99" s="433"/>
      <c r="N99" s="434"/>
      <c r="O99" s="433"/>
      <c r="P99" s="434"/>
      <c r="Q99" s="433"/>
      <c r="R99" s="434"/>
      <c r="S99" s="433"/>
      <c r="T99" s="762" t="s">
        <v>65</v>
      </c>
      <c r="U99" s="763"/>
      <c r="W99" s="1086"/>
      <c r="X99" s="1087"/>
    </row>
    <row r="100" spans="1:26" s="3" customFormat="1" ht="15" customHeight="1" x14ac:dyDescent="0.2">
      <c r="A100" s="622"/>
      <c r="B100" s="521"/>
      <c r="C100" s="522"/>
      <c r="D100" s="522"/>
      <c r="E100" s="522"/>
      <c r="F100" s="522"/>
      <c r="G100" s="523"/>
      <c r="H100" s="112"/>
      <c r="I100" s="113" t="s">
        <v>95</v>
      </c>
      <c r="J100" s="749"/>
      <c r="K100" s="752"/>
      <c r="L100" s="540"/>
      <c r="M100" s="458"/>
      <c r="N100" s="457"/>
      <c r="O100" s="458"/>
      <c r="P100" s="457"/>
      <c r="Q100" s="458"/>
      <c r="R100" s="457"/>
      <c r="S100" s="458"/>
      <c r="T100" s="608" t="s">
        <v>66</v>
      </c>
      <c r="U100" s="609"/>
      <c r="W100" s="1086"/>
      <c r="X100" s="1087"/>
    </row>
    <row r="101" spans="1:26" s="3" customFormat="1" ht="15" customHeight="1" x14ac:dyDescent="0.2">
      <c r="A101" s="622"/>
      <c r="B101" s="357"/>
      <c r="C101" s="358"/>
      <c r="D101" s="358"/>
      <c r="E101" s="358"/>
      <c r="F101" s="358"/>
      <c r="G101" s="541"/>
      <c r="H101" s="114"/>
      <c r="I101" s="113" t="s">
        <v>96</v>
      </c>
      <c r="J101" s="749"/>
      <c r="K101" s="752"/>
      <c r="L101" s="524"/>
      <c r="M101" s="525"/>
      <c r="N101" s="539"/>
      <c r="O101" s="525"/>
      <c r="P101" s="539"/>
      <c r="Q101" s="525"/>
      <c r="R101" s="539"/>
      <c r="S101" s="525"/>
      <c r="T101" s="610" t="s">
        <v>67</v>
      </c>
      <c r="U101" s="611"/>
      <c r="W101" s="1086"/>
      <c r="X101" s="1087"/>
    </row>
    <row r="102" spans="1:26" s="3" customFormat="1" ht="15" customHeight="1" x14ac:dyDescent="0.2">
      <c r="A102" s="622"/>
      <c r="B102" s="357"/>
      <c r="C102" s="358"/>
      <c r="D102" s="358"/>
      <c r="E102" s="358"/>
      <c r="F102" s="358"/>
      <c r="G102" s="541"/>
      <c r="H102" s="114"/>
      <c r="I102" s="113" t="s">
        <v>97</v>
      </c>
      <c r="J102" s="749"/>
      <c r="K102" s="752"/>
      <c r="L102" s="179" t="s">
        <v>21</v>
      </c>
      <c r="M102" s="179" t="s">
        <v>753</v>
      </c>
      <c r="N102" s="179" t="s">
        <v>760</v>
      </c>
      <c r="O102" s="179" t="s">
        <v>776</v>
      </c>
      <c r="P102" s="179" t="s">
        <v>761</v>
      </c>
      <c r="Q102" s="179" t="s">
        <v>762</v>
      </c>
      <c r="R102" s="179" t="s">
        <v>1315</v>
      </c>
      <c r="S102" s="179" t="s">
        <v>1316</v>
      </c>
      <c r="T102" s="179" t="s">
        <v>1317</v>
      </c>
      <c r="U102" s="162" t="s">
        <v>25</v>
      </c>
      <c r="W102" s="1086"/>
      <c r="X102" s="1087"/>
    </row>
    <row r="103" spans="1:26" s="3" customFormat="1" ht="15" customHeight="1" x14ac:dyDescent="0.2">
      <c r="A103" s="622"/>
      <c r="B103" s="505"/>
      <c r="C103" s="506"/>
      <c r="D103" s="506"/>
      <c r="E103" s="506"/>
      <c r="F103" s="506"/>
      <c r="G103" s="507"/>
      <c r="H103" s="114"/>
      <c r="I103" s="217" t="s">
        <v>98</v>
      </c>
      <c r="J103" s="749"/>
      <c r="K103" s="752"/>
      <c r="L103" s="1158" t="s">
        <v>104</v>
      </c>
      <c r="M103" s="1157" t="s">
        <v>105</v>
      </c>
      <c r="N103" s="1157" t="s">
        <v>106</v>
      </c>
      <c r="O103" s="1157" t="s">
        <v>107</v>
      </c>
      <c r="P103" s="1157" t="s">
        <v>108</v>
      </c>
      <c r="Q103" s="1157" t="s">
        <v>109</v>
      </c>
      <c r="R103" s="1157" t="s">
        <v>110</v>
      </c>
      <c r="S103" s="1102" t="s">
        <v>111</v>
      </c>
      <c r="T103" s="1102" t="s">
        <v>1265</v>
      </c>
      <c r="U103" s="761" t="s">
        <v>44</v>
      </c>
      <c r="W103" s="1086"/>
      <c r="X103" s="1087"/>
    </row>
    <row r="104" spans="1:26" s="3" customFormat="1" ht="15" customHeight="1" thickBot="1" x14ac:dyDescent="0.25">
      <c r="A104" s="622"/>
      <c r="B104" s="451"/>
      <c r="C104" s="452"/>
      <c r="D104" s="452"/>
      <c r="E104" s="452"/>
      <c r="F104" s="452"/>
      <c r="G104" s="453"/>
      <c r="H104" s="117"/>
      <c r="I104" s="178" t="s">
        <v>1266</v>
      </c>
      <c r="J104" s="750"/>
      <c r="K104" s="753"/>
      <c r="L104" s="1101"/>
      <c r="M104" s="1103"/>
      <c r="N104" s="1103"/>
      <c r="O104" s="1103"/>
      <c r="P104" s="1103"/>
      <c r="Q104" s="1103"/>
      <c r="R104" s="1103"/>
      <c r="S104" s="1103"/>
      <c r="T104" s="1103"/>
      <c r="U104" s="760"/>
      <c r="W104" s="1086"/>
      <c r="X104" s="1087"/>
    </row>
    <row r="105" spans="1:26" s="3" customFormat="1" ht="15" customHeight="1" thickTop="1" x14ac:dyDescent="0.2">
      <c r="A105" s="622"/>
      <c r="B105" s="493"/>
      <c r="C105" s="494"/>
      <c r="D105" s="494"/>
      <c r="E105" s="494"/>
      <c r="F105" s="494"/>
      <c r="G105" s="495"/>
      <c r="H105" s="110" t="s">
        <v>790</v>
      </c>
      <c r="I105" s="111"/>
      <c r="J105" s="748">
        <v>2</v>
      </c>
      <c r="K105" s="751">
        <v>2</v>
      </c>
      <c r="L105" s="908"/>
      <c r="M105" s="909"/>
      <c r="N105" s="910"/>
      <c r="O105" s="909"/>
      <c r="P105" s="910"/>
      <c r="Q105" s="909"/>
      <c r="R105" s="910"/>
      <c r="S105" s="909"/>
      <c r="T105" s="669" t="s">
        <v>64</v>
      </c>
      <c r="U105" s="670"/>
      <c r="W105" s="1076" t="s">
        <v>141</v>
      </c>
      <c r="X105" s="1090"/>
      <c r="Y105" s="1092" t="s">
        <v>112</v>
      </c>
      <c r="Z105" s="1093"/>
    </row>
    <row r="106" spans="1:26" s="3" customFormat="1" ht="15" customHeight="1" x14ac:dyDescent="0.2">
      <c r="A106" s="622"/>
      <c r="B106" s="476"/>
      <c r="C106" s="477"/>
      <c r="D106" s="477"/>
      <c r="E106" s="477"/>
      <c r="F106" s="477"/>
      <c r="G106" s="478"/>
      <c r="H106" s="112"/>
      <c r="I106" s="113"/>
      <c r="J106" s="749"/>
      <c r="K106" s="752"/>
      <c r="L106" s="921"/>
      <c r="M106" s="922"/>
      <c r="N106" s="923"/>
      <c r="O106" s="922"/>
      <c r="P106" s="923"/>
      <c r="Q106" s="922"/>
      <c r="R106" s="923"/>
      <c r="S106" s="922"/>
      <c r="T106" s="606" t="s">
        <v>63</v>
      </c>
      <c r="U106" s="607"/>
      <c r="W106" s="1078"/>
      <c r="X106" s="1091"/>
      <c r="Y106" s="1094"/>
      <c r="Z106" s="1095"/>
    </row>
    <row r="107" spans="1:26" s="3" customFormat="1" ht="15" customHeight="1" x14ac:dyDescent="0.2">
      <c r="A107" s="622"/>
      <c r="B107" s="476"/>
      <c r="C107" s="477"/>
      <c r="D107" s="477"/>
      <c r="E107" s="477"/>
      <c r="F107" s="477"/>
      <c r="G107" s="478"/>
      <c r="H107" s="112"/>
      <c r="I107" s="113"/>
      <c r="J107" s="749"/>
      <c r="K107" s="752"/>
      <c r="L107" s="924"/>
      <c r="M107" s="925"/>
      <c r="N107" s="926"/>
      <c r="O107" s="925"/>
      <c r="P107" s="926"/>
      <c r="Q107" s="925"/>
      <c r="R107" s="926"/>
      <c r="S107" s="925"/>
      <c r="T107" s="610" t="s">
        <v>52</v>
      </c>
      <c r="U107" s="611"/>
      <c r="W107" s="1078"/>
      <c r="X107" s="1091"/>
      <c r="Y107" s="1094"/>
      <c r="Z107" s="1095"/>
    </row>
    <row r="108" spans="1:26" s="3" customFormat="1" ht="15" customHeight="1" x14ac:dyDescent="0.2">
      <c r="A108" s="622"/>
      <c r="B108" s="454" t="s">
        <v>69</v>
      </c>
      <c r="C108" s="455"/>
      <c r="D108" s="455"/>
      <c r="E108" s="455"/>
      <c r="F108" s="455"/>
      <c r="G108" s="456"/>
      <c r="H108" s="112"/>
      <c r="I108" s="113"/>
      <c r="J108" s="749"/>
      <c r="K108" s="752"/>
      <c r="L108" s="432"/>
      <c r="M108" s="433"/>
      <c r="N108" s="434"/>
      <c r="O108" s="433"/>
      <c r="P108" s="434"/>
      <c r="Q108" s="433"/>
      <c r="R108" s="434"/>
      <c r="S108" s="433"/>
      <c r="T108" s="762" t="s">
        <v>65</v>
      </c>
      <c r="U108" s="763"/>
      <c r="W108" s="1078"/>
      <c r="X108" s="1091"/>
      <c r="Y108" s="1094"/>
      <c r="Z108" s="1095"/>
    </row>
    <row r="109" spans="1:26" s="3" customFormat="1" ht="15" customHeight="1" x14ac:dyDescent="0.2">
      <c r="A109" s="622"/>
      <c r="B109" s="454" t="s">
        <v>130</v>
      </c>
      <c r="C109" s="455"/>
      <c r="D109" s="455"/>
      <c r="E109" s="455"/>
      <c r="F109" s="455"/>
      <c r="G109" s="456"/>
      <c r="H109" s="112"/>
      <c r="I109" s="113"/>
      <c r="J109" s="749"/>
      <c r="K109" s="752"/>
      <c r="L109" s="540"/>
      <c r="M109" s="458"/>
      <c r="N109" s="457"/>
      <c r="O109" s="458"/>
      <c r="P109" s="457"/>
      <c r="Q109" s="458"/>
      <c r="R109" s="457"/>
      <c r="S109" s="458"/>
      <c r="T109" s="608" t="s">
        <v>66</v>
      </c>
      <c r="U109" s="609"/>
      <c r="W109" s="1078"/>
      <c r="X109" s="1091"/>
      <c r="Y109" s="1094"/>
      <c r="Z109" s="1095"/>
    </row>
    <row r="110" spans="1:26" s="3" customFormat="1" ht="15" customHeight="1" x14ac:dyDescent="0.2">
      <c r="A110" s="622"/>
      <c r="B110" s="357"/>
      <c r="C110" s="358"/>
      <c r="D110" s="358"/>
      <c r="E110" s="358"/>
      <c r="F110" s="358"/>
      <c r="G110" s="541"/>
      <c r="H110" s="114"/>
      <c r="I110" s="113"/>
      <c r="J110" s="749"/>
      <c r="K110" s="752"/>
      <c r="L110" s="524"/>
      <c r="M110" s="525"/>
      <c r="N110" s="539"/>
      <c r="O110" s="525"/>
      <c r="P110" s="539"/>
      <c r="Q110" s="525"/>
      <c r="R110" s="539"/>
      <c r="S110" s="525"/>
      <c r="T110" s="610" t="s">
        <v>67</v>
      </c>
      <c r="U110" s="611"/>
      <c r="W110" s="1078"/>
      <c r="X110" s="1091"/>
      <c r="Y110" s="1094"/>
      <c r="Z110" s="1095"/>
    </row>
    <row r="111" spans="1:26" s="3" customFormat="1" ht="15" customHeight="1" x14ac:dyDescent="0.2">
      <c r="A111" s="622"/>
      <c r="B111" s="505"/>
      <c r="C111" s="506"/>
      <c r="D111" s="506"/>
      <c r="E111" s="506"/>
      <c r="F111" s="506"/>
      <c r="G111" s="507"/>
      <c r="H111" s="114"/>
      <c r="I111" s="113"/>
      <c r="J111" s="749"/>
      <c r="K111" s="752"/>
      <c r="L111" s="179" t="s">
        <v>21</v>
      </c>
      <c r="M111" s="179" t="s">
        <v>753</v>
      </c>
      <c r="N111" s="179" t="s">
        <v>760</v>
      </c>
      <c r="O111" s="179" t="s">
        <v>776</v>
      </c>
      <c r="P111" s="179" t="s">
        <v>761</v>
      </c>
      <c r="Q111" s="179" t="s">
        <v>762</v>
      </c>
      <c r="R111" s="179" t="s">
        <v>1315</v>
      </c>
      <c r="S111" s="179" t="s">
        <v>1316</v>
      </c>
      <c r="T111" s="179" t="s">
        <v>1317</v>
      </c>
      <c r="U111" s="162" t="s">
        <v>25</v>
      </c>
      <c r="W111" s="1078"/>
      <c r="X111" s="1091"/>
      <c r="Y111" s="1094"/>
      <c r="Z111" s="1095"/>
    </row>
    <row r="112" spans="1:26" s="3" customFormat="1" ht="15" customHeight="1" x14ac:dyDescent="0.2">
      <c r="A112" s="622"/>
      <c r="B112" s="505"/>
      <c r="C112" s="506"/>
      <c r="D112" s="506"/>
      <c r="E112" s="506"/>
      <c r="F112" s="506"/>
      <c r="G112" s="507"/>
      <c r="H112" s="114"/>
      <c r="I112" s="113"/>
      <c r="J112" s="749"/>
      <c r="K112" s="752"/>
      <c r="L112" s="911"/>
      <c r="M112" s="913"/>
      <c r="N112" s="913"/>
      <c r="O112" s="913"/>
      <c r="P112" s="913"/>
      <c r="Q112" s="913"/>
      <c r="R112" s="913"/>
      <c r="S112" s="913"/>
      <c r="T112" s="913"/>
      <c r="U112" s="761" t="s">
        <v>44</v>
      </c>
      <c r="W112" s="1078"/>
      <c r="X112" s="1091"/>
      <c r="Y112" s="1094"/>
      <c r="Z112" s="1095"/>
    </row>
    <row r="113" spans="1:32" s="3" customFormat="1" ht="15" customHeight="1" thickBot="1" x14ac:dyDescent="0.25">
      <c r="A113" s="622"/>
      <c r="B113" s="451"/>
      <c r="C113" s="452"/>
      <c r="D113" s="452"/>
      <c r="E113" s="452"/>
      <c r="F113" s="452"/>
      <c r="G113" s="453"/>
      <c r="H113" s="117"/>
      <c r="I113" s="118"/>
      <c r="J113" s="750"/>
      <c r="K113" s="753"/>
      <c r="L113" s="912"/>
      <c r="M113" s="914"/>
      <c r="N113" s="914"/>
      <c r="O113" s="914"/>
      <c r="P113" s="914"/>
      <c r="Q113" s="914"/>
      <c r="R113" s="914"/>
      <c r="S113" s="914"/>
      <c r="T113" s="914"/>
      <c r="U113" s="760"/>
      <c r="W113" s="1078"/>
      <c r="X113" s="1091"/>
      <c r="Y113" s="1096"/>
      <c r="Z113" s="1097"/>
    </row>
    <row r="114" spans="1:32" ht="15" customHeight="1" thickTop="1" x14ac:dyDescent="0.2">
      <c r="A114" s="116"/>
      <c r="B114" s="493"/>
      <c r="C114" s="494"/>
      <c r="D114" s="494"/>
      <c r="E114" s="494"/>
      <c r="F114" s="494"/>
      <c r="G114" s="495"/>
      <c r="H114" s="110" t="s">
        <v>790</v>
      </c>
      <c r="I114" s="111"/>
      <c r="J114" s="748">
        <v>1</v>
      </c>
      <c r="K114" s="751">
        <v>1</v>
      </c>
      <c r="L114" s="908"/>
      <c r="M114" s="909"/>
      <c r="N114" s="910"/>
      <c r="O114" s="909"/>
      <c r="P114" s="910"/>
      <c r="Q114" s="909"/>
      <c r="R114" s="910"/>
      <c r="S114" s="909"/>
      <c r="T114" s="669" t="s">
        <v>64</v>
      </c>
      <c r="U114" s="670"/>
      <c r="V114" s="3"/>
      <c r="W114" s="1080" t="s">
        <v>142</v>
      </c>
      <c r="X114" s="1098"/>
    </row>
    <row r="115" spans="1:32" ht="15" customHeight="1" x14ac:dyDescent="0.2">
      <c r="A115" s="116"/>
      <c r="B115" s="476"/>
      <c r="C115" s="477"/>
      <c r="D115" s="477"/>
      <c r="E115" s="477"/>
      <c r="F115" s="477"/>
      <c r="G115" s="478"/>
      <c r="H115" s="112"/>
      <c r="I115" s="113"/>
      <c r="J115" s="749"/>
      <c r="K115" s="752"/>
      <c r="L115" s="921"/>
      <c r="M115" s="922"/>
      <c r="N115" s="923"/>
      <c r="O115" s="922"/>
      <c r="P115" s="923"/>
      <c r="Q115" s="922"/>
      <c r="R115" s="923"/>
      <c r="S115" s="922"/>
      <c r="T115" s="606" t="s">
        <v>63</v>
      </c>
      <c r="U115" s="607"/>
      <c r="V115" s="3"/>
      <c r="W115" s="1082"/>
      <c r="X115" s="1099"/>
    </row>
    <row r="116" spans="1:32" s="5" customFormat="1" ht="15" customHeight="1" x14ac:dyDescent="0.2">
      <c r="A116" s="116"/>
      <c r="B116" s="476"/>
      <c r="C116" s="477"/>
      <c r="D116" s="477"/>
      <c r="E116" s="477"/>
      <c r="F116" s="477"/>
      <c r="G116" s="478"/>
      <c r="H116" s="112"/>
      <c r="I116" s="113"/>
      <c r="J116" s="749"/>
      <c r="K116" s="752"/>
      <c r="L116" s="924"/>
      <c r="M116" s="925"/>
      <c r="N116" s="926"/>
      <c r="O116" s="925"/>
      <c r="P116" s="926"/>
      <c r="Q116" s="925"/>
      <c r="R116" s="926"/>
      <c r="S116" s="925"/>
      <c r="T116" s="610" t="s">
        <v>52</v>
      </c>
      <c r="U116" s="611"/>
      <c r="V116" s="3"/>
      <c r="W116" s="1082"/>
      <c r="X116" s="1099"/>
      <c r="Y116" s="2"/>
      <c r="Z116" s="2"/>
      <c r="AA116" s="2"/>
      <c r="AB116" s="2"/>
      <c r="AC116" s="2"/>
      <c r="AD116" s="2"/>
      <c r="AE116" s="2"/>
      <c r="AF116" s="2"/>
    </row>
    <row r="117" spans="1:32" s="5" customFormat="1" ht="15" customHeight="1" x14ac:dyDescent="0.2">
      <c r="A117" s="116"/>
      <c r="B117" s="454" t="s">
        <v>145</v>
      </c>
      <c r="C117" s="455"/>
      <c r="D117" s="455"/>
      <c r="E117" s="455"/>
      <c r="F117" s="455"/>
      <c r="G117" s="456"/>
      <c r="H117" s="112"/>
      <c r="I117" s="113"/>
      <c r="J117" s="749"/>
      <c r="K117" s="752"/>
      <c r="L117" s="432"/>
      <c r="M117" s="433"/>
      <c r="N117" s="434"/>
      <c r="O117" s="433"/>
      <c r="P117" s="434"/>
      <c r="Q117" s="433"/>
      <c r="R117" s="434"/>
      <c r="S117" s="433"/>
      <c r="T117" s="762" t="s">
        <v>65</v>
      </c>
      <c r="U117" s="763"/>
      <c r="V117" s="3"/>
      <c r="W117" s="1082"/>
      <c r="X117" s="1099"/>
      <c r="Y117" s="2"/>
      <c r="Z117" s="2"/>
      <c r="AA117" s="2"/>
      <c r="AB117" s="2"/>
      <c r="AC117" s="2"/>
      <c r="AD117" s="2"/>
      <c r="AE117" s="2"/>
      <c r="AF117" s="2"/>
    </row>
    <row r="118" spans="1:32" s="5" customFormat="1" ht="15" customHeight="1" x14ac:dyDescent="0.2">
      <c r="A118" s="116"/>
      <c r="B118" s="521"/>
      <c r="C118" s="522"/>
      <c r="D118" s="522"/>
      <c r="E118" s="522"/>
      <c r="F118" s="522"/>
      <c r="G118" s="523"/>
      <c r="H118" s="112"/>
      <c r="I118" s="113"/>
      <c r="J118" s="749"/>
      <c r="K118" s="752"/>
      <c r="L118" s="540"/>
      <c r="M118" s="458"/>
      <c r="N118" s="457"/>
      <c r="O118" s="458"/>
      <c r="P118" s="457"/>
      <c r="Q118" s="458"/>
      <c r="R118" s="457"/>
      <c r="S118" s="458"/>
      <c r="T118" s="608" t="s">
        <v>66</v>
      </c>
      <c r="U118" s="609"/>
      <c r="V118" s="3"/>
      <c r="W118" s="1082"/>
      <c r="X118" s="1099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16"/>
      <c r="B119" s="357"/>
      <c r="C119" s="358"/>
      <c r="D119" s="358"/>
      <c r="E119" s="358"/>
      <c r="F119" s="358"/>
      <c r="G119" s="541"/>
      <c r="H119" s="114"/>
      <c r="I119" s="113"/>
      <c r="J119" s="749"/>
      <c r="K119" s="752"/>
      <c r="L119" s="524"/>
      <c r="M119" s="525"/>
      <c r="N119" s="539"/>
      <c r="O119" s="525"/>
      <c r="P119" s="539"/>
      <c r="Q119" s="525"/>
      <c r="R119" s="539"/>
      <c r="S119" s="525"/>
      <c r="T119" s="610" t="s">
        <v>67</v>
      </c>
      <c r="U119" s="611"/>
      <c r="V119" s="3"/>
      <c r="W119" s="1082"/>
      <c r="X119" s="1099"/>
    </row>
    <row r="120" spans="1:32" ht="15" customHeight="1" x14ac:dyDescent="0.2">
      <c r="A120" s="116"/>
      <c r="B120" s="505"/>
      <c r="C120" s="506"/>
      <c r="D120" s="506"/>
      <c r="E120" s="506"/>
      <c r="F120" s="506"/>
      <c r="G120" s="507"/>
      <c r="H120" s="114"/>
      <c r="I120" s="113"/>
      <c r="J120" s="749"/>
      <c r="K120" s="752"/>
      <c r="L120" s="179" t="s">
        <v>21</v>
      </c>
      <c r="M120" s="179" t="s">
        <v>753</v>
      </c>
      <c r="N120" s="179" t="s">
        <v>760</v>
      </c>
      <c r="O120" s="179" t="s">
        <v>776</v>
      </c>
      <c r="P120" s="179" t="s">
        <v>761</v>
      </c>
      <c r="Q120" s="179" t="s">
        <v>762</v>
      </c>
      <c r="R120" s="179" t="s">
        <v>1315</v>
      </c>
      <c r="S120" s="179" t="s">
        <v>1316</v>
      </c>
      <c r="T120" s="179" t="s">
        <v>1317</v>
      </c>
      <c r="U120" s="162" t="s">
        <v>25</v>
      </c>
      <c r="V120" s="3"/>
      <c r="W120" s="1082"/>
      <c r="X120" s="1099"/>
    </row>
    <row r="121" spans="1:32" ht="15" customHeight="1" x14ac:dyDescent="0.2">
      <c r="A121" s="116"/>
      <c r="B121" s="505"/>
      <c r="C121" s="506"/>
      <c r="D121" s="506"/>
      <c r="E121" s="506"/>
      <c r="F121" s="506"/>
      <c r="G121" s="507"/>
      <c r="H121" s="114"/>
      <c r="I121" s="113"/>
      <c r="J121" s="749"/>
      <c r="K121" s="752"/>
      <c r="L121" s="1100"/>
      <c r="M121" s="1102"/>
      <c r="N121" s="1102"/>
      <c r="O121" s="1102"/>
      <c r="P121" s="1102"/>
      <c r="Q121" s="1102"/>
      <c r="R121" s="1102"/>
      <c r="S121" s="1102"/>
      <c r="T121" s="1102"/>
      <c r="U121" s="761" t="s">
        <v>44</v>
      </c>
      <c r="V121" s="3"/>
      <c r="W121" s="1082"/>
      <c r="X121" s="1099"/>
    </row>
    <row r="122" spans="1:32" ht="15" customHeight="1" thickBot="1" x14ac:dyDescent="0.25">
      <c r="A122" s="116"/>
      <c r="B122" s="451"/>
      <c r="C122" s="452"/>
      <c r="D122" s="452"/>
      <c r="E122" s="452"/>
      <c r="F122" s="452"/>
      <c r="G122" s="453"/>
      <c r="H122" s="117"/>
      <c r="I122" s="118"/>
      <c r="J122" s="750"/>
      <c r="K122" s="753"/>
      <c r="L122" s="1101"/>
      <c r="M122" s="1103"/>
      <c r="N122" s="1103"/>
      <c r="O122" s="1103"/>
      <c r="P122" s="1103"/>
      <c r="Q122" s="1103"/>
      <c r="R122" s="1103"/>
      <c r="S122" s="1103"/>
      <c r="T122" s="1103"/>
      <c r="U122" s="760"/>
      <c r="V122" s="3"/>
      <c r="W122" s="1082"/>
      <c r="X122" s="1099"/>
    </row>
    <row r="123" spans="1:32" ht="15" customHeight="1" thickTop="1" x14ac:dyDescent="0.2">
      <c r="A123" s="116"/>
      <c r="B123" s="493"/>
      <c r="C123" s="494"/>
      <c r="D123" s="494"/>
      <c r="E123" s="494"/>
      <c r="F123" s="494"/>
      <c r="G123" s="495"/>
      <c r="H123" s="110"/>
      <c r="I123" s="111"/>
      <c r="J123" s="748">
        <v>1</v>
      </c>
      <c r="K123" s="751">
        <v>1</v>
      </c>
      <c r="L123" s="908"/>
      <c r="M123" s="909"/>
      <c r="N123" s="910"/>
      <c r="O123" s="909"/>
      <c r="P123" s="910"/>
      <c r="Q123" s="909"/>
      <c r="R123" s="910"/>
      <c r="S123" s="909"/>
      <c r="T123" s="669" t="s">
        <v>64</v>
      </c>
      <c r="U123" s="670"/>
      <c r="W123" s="1084" t="s">
        <v>146</v>
      </c>
      <c r="X123" s="1085"/>
    </row>
    <row r="124" spans="1:32" ht="15" customHeight="1" x14ac:dyDescent="0.2">
      <c r="A124" s="116"/>
      <c r="B124" s="476"/>
      <c r="C124" s="477"/>
      <c r="D124" s="477"/>
      <c r="E124" s="477"/>
      <c r="F124" s="477"/>
      <c r="G124" s="478"/>
      <c r="H124" s="112"/>
      <c r="I124" s="113"/>
      <c r="J124" s="749"/>
      <c r="K124" s="752"/>
      <c r="L124" s="921"/>
      <c r="M124" s="922"/>
      <c r="N124" s="923"/>
      <c r="O124" s="922"/>
      <c r="P124" s="923"/>
      <c r="Q124" s="922"/>
      <c r="R124" s="923"/>
      <c r="S124" s="922"/>
      <c r="T124" s="606" t="s">
        <v>63</v>
      </c>
      <c r="U124" s="607"/>
      <c r="W124" s="1086"/>
      <c r="X124" s="1087"/>
    </row>
    <row r="125" spans="1:32" ht="15" customHeight="1" x14ac:dyDescent="0.2">
      <c r="A125" s="116"/>
      <c r="B125" s="476"/>
      <c r="C125" s="477"/>
      <c r="D125" s="477"/>
      <c r="E125" s="477"/>
      <c r="F125" s="477"/>
      <c r="G125" s="478"/>
      <c r="H125" s="112"/>
      <c r="I125" s="113"/>
      <c r="J125" s="749"/>
      <c r="K125" s="752"/>
      <c r="L125" s="924"/>
      <c r="M125" s="925"/>
      <c r="N125" s="926"/>
      <c r="O125" s="925"/>
      <c r="P125" s="926"/>
      <c r="Q125" s="925"/>
      <c r="R125" s="926"/>
      <c r="S125" s="925"/>
      <c r="T125" s="610" t="s">
        <v>52</v>
      </c>
      <c r="U125" s="611"/>
      <c r="W125" s="1086"/>
      <c r="X125" s="1087"/>
    </row>
    <row r="126" spans="1:32" ht="15" customHeight="1" x14ac:dyDescent="0.2">
      <c r="A126" s="116"/>
      <c r="B126" s="454"/>
      <c r="C126" s="455"/>
      <c r="D126" s="455"/>
      <c r="E126" s="455"/>
      <c r="F126" s="455"/>
      <c r="G126" s="456"/>
      <c r="H126" s="112"/>
      <c r="I126" s="113"/>
      <c r="J126" s="749"/>
      <c r="K126" s="752"/>
      <c r="L126" s="432"/>
      <c r="M126" s="433"/>
      <c r="N126" s="434"/>
      <c r="O126" s="433"/>
      <c r="P126" s="434"/>
      <c r="Q126" s="433"/>
      <c r="R126" s="434"/>
      <c r="S126" s="433"/>
      <c r="T126" s="762" t="s">
        <v>65</v>
      </c>
      <c r="U126" s="763"/>
      <c r="W126" s="1086"/>
      <c r="X126" s="1087"/>
    </row>
    <row r="127" spans="1:32" ht="15" customHeight="1" x14ac:dyDescent="0.2">
      <c r="A127" s="116"/>
      <c r="B127" s="521"/>
      <c r="C127" s="522"/>
      <c r="D127" s="522"/>
      <c r="E127" s="522"/>
      <c r="F127" s="522"/>
      <c r="G127" s="523"/>
      <c r="H127" s="112"/>
      <c r="I127" s="113"/>
      <c r="J127" s="749"/>
      <c r="K127" s="752"/>
      <c r="L127" s="540"/>
      <c r="M127" s="458"/>
      <c r="N127" s="457"/>
      <c r="O127" s="458"/>
      <c r="P127" s="457"/>
      <c r="Q127" s="458"/>
      <c r="R127" s="457"/>
      <c r="S127" s="458"/>
      <c r="T127" s="608" t="s">
        <v>66</v>
      </c>
      <c r="U127" s="609"/>
      <c r="W127" s="1086"/>
      <c r="X127" s="1087"/>
    </row>
    <row r="128" spans="1:32" ht="15" customHeight="1" x14ac:dyDescent="0.2">
      <c r="A128" s="116"/>
      <c r="B128" s="357"/>
      <c r="C128" s="358"/>
      <c r="D128" s="358"/>
      <c r="E128" s="358"/>
      <c r="F128" s="358"/>
      <c r="G128" s="541"/>
      <c r="H128" s="114"/>
      <c r="I128" s="113"/>
      <c r="J128" s="749"/>
      <c r="K128" s="752"/>
      <c r="L128" s="524"/>
      <c r="M128" s="525"/>
      <c r="N128" s="539"/>
      <c r="O128" s="525"/>
      <c r="P128" s="539"/>
      <c r="Q128" s="525"/>
      <c r="R128" s="539"/>
      <c r="S128" s="525"/>
      <c r="T128" s="610" t="s">
        <v>67</v>
      </c>
      <c r="U128" s="611"/>
      <c r="W128" s="1086"/>
      <c r="X128" s="1087"/>
    </row>
    <row r="129" spans="1:26" ht="15" customHeight="1" x14ac:dyDescent="0.2">
      <c r="A129" s="116"/>
      <c r="B129" s="505"/>
      <c r="C129" s="506"/>
      <c r="D129" s="506"/>
      <c r="E129" s="506"/>
      <c r="F129" s="506"/>
      <c r="G129" s="507"/>
      <c r="H129" s="114"/>
      <c r="I129" s="113"/>
      <c r="J129" s="749"/>
      <c r="K129" s="752"/>
      <c r="L129" s="179" t="s">
        <v>21</v>
      </c>
      <c r="M129" s="179" t="s">
        <v>753</v>
      </c>
      <c r="N129" s="179" t="s">
        <v>760</v>
      </c>
      <c r="O129" s="179" t="s">
        <v>776</v>
      </c>
      <c r="P129" s="179" t="s">
        <v>761</v>
      </c>
      <c r="Q129" s="179" t="s">
        <v>762</v>
      </c>
      <c r="R129" s="179" t="s">
        <v>1315</v>
      </c>
      <c r="S129" s="179" t="s">
        <v>1316</v>
      </c>
      <c r="T129" s="179" t="s">
        <v>1317</v>
      </c>
      <c r="U129" s="162" t="s">
        <v>25</v>
      </c>
      <c r="W129" s="1086"/>
      <c r="X129" s="1087"/>
    </row>
    <row r="130" spans="1:26" ht="15" customHeight="1" x14ac:dyDescent="0.2">
      <c r="A130" s="116"/>
      <c r="B130" s="505"/>
      <c r="C130" s="506"/>
      <c r="D130" s="506"/>
      <c r="E130" s="506"/>
      <c r="F130" s="506"/>
      <c r="G130" s="507"/>
      <c r="H130" s="114"/>
      <c r="I130" s="113"/>
      <c r="J130" s="749"/>
      <c r="K130" s="752"/>
      <c r="L130" s="1100"/>
      <c r="M130" s="1102"/>
      <c r="N130" s="1102"/>
      <c r="O130" s="1102"/>
      <c r="P130" s="1102"/>
      <c r="Q130" s="1102"/>
      <c r="R130" s="1102"/>
      <c r="S130" s="1102"/>
      <c r="T130" s="1102"/>
      <c r="U130" s="761" t="s">
        <v>44</v>
      </c>
      <c r="W130" s="1086"/>
      <c r="X130" s="1087"/>
    </row>
    <row r="131" spans="1:26" ht="15" customHeight="1" thickBot="1" x14ac:dyDescent="0.25">
      <c r="A131" s="116"/>
      <c r="B131" s="451"/>
      <c r="C131" s="452"/>
      <c r="D131" s="452"/>
      <c r="E131" s="452"/>
      <c r="F131" s="452"/>
      <c r="G131" s="453"/>
      <c r="H131" s="117"/>
      <c r="I131" s="118"/>
      <c r="J131" s="750"/>
      <c r="K131" s="753"/>
      <c r="L131" s="1101"/>
      <c r="M131" s="1103"/>
      <c r="N131" s="1103"/>
      <c r="O131" s="1103"/>
      <c r="P131" s="1103"/>
      <c r="Q131" s="1103"/>
      <c r="R131" s="1103"/>
      <c r="S131" s="1103"/>
      <c r="T131" s="1103"/>
      <c r="U131" s="760"/>
      <c r="W131" s="1086"/>
      <c r="X131" s="1087"/>
    </row>
    <row r="132" spans="1:26" ht="15" customHeight="1" x14ac:dyDescent="0.2">
      <c r="A132" s="116"/>
      <c r="B132" s="435" t="s">
        <v>746</v>
      </c>
      <c r="C132" s="436"/>
      <c r="D132" s="436"/>
      <c r="E132" s="436"/>
      <c r="F132" s="436"/>
      <c r="G132" s="437"/>
      <c r="H132" s="110" t="s">
        <v>745</v>
      </c>
      <c r="I132" s="219" t="s">
        <v>674</v>
      </c>
      <c r="J132" s="248"/>
      <c r="K132" s="249"/>
      <c r="L132" s="1156" t="s">
        <v>675</v>
      </c>
      <c r="M132" s="441"/>
      <c r="N132" s="440"/>
      <c r="O132" s="441"/>
      <c r="P132" s="440"/>
      <c r="Q132" s="441"/>
      <c r="R132" s="440"/>
      <c r="S132" s="441"/>
      <c r="T132" s="440"/>
      <c r="U132" s="442"/>
      <c r="W132" s="886" t="s">
        <v>612</v>
      </c>
      <c r="X132" s="857"/>
      <c r="Y132" s="857"/>
      <c r="Z132" s="887"/>
    </row>
    <row r="133" spans="1:26" ht="15" customHeight="1" x14ac:dyDescent="0.2">
      <c r="A133" s="116"/>
      <c r="B133" s="1153" t="s">
        <v>749</v>
      </c>
      <c r="C133" s="1154"/>
      <c r="D133" s="1154"/>
      <c r="E133" s="1154"/>
      <c r="F133" s="1154"/>
      <c r="G133" s="1155"/>
      <c r="H133" s="123"/>
      <c r="I133" s="124"/>
      <c r="J133" s="250"/>
      <c r="K133" s="251"/>
      <c r="L133" s="179" t="s">
        <v>21</v>
      </c>
      <c r="M133" s="179" t="s">
        <v>753</v>
      </c>
      <c r="N133" s="179" t="s">
        <v>760</v>
      </c>
      <c r="O133" s="179" t="s">
        <v>776</v>
      </c>
      <c r="P133" s="179" t="s">
        <v>761</v>
      </c>
      <c r="Q133" s="179" t="s">
        <v>762</v>
      </c>
      <c r="R133" s="179" t="s">
        <v>1315</v>
      </c>
      <c r="S133" s="179" t="s">
        <v>1316</v>
      </c>
      <c r="T133" s="179" t="s">
        <v>1317</v>
      </c>
      <c r="U133" s="180" t="s">
        <v>25</v>
      </c>
      <c r="W133" s="888"/>
      <c r="X133" s="858"/>
      <c r="Y133" s="858"/>
      <c r="Z133" s="889"/>
    </row>
    <row r="134" spans="1:26" ht="15" customHeight="1" thickBot="1" x14ac:dyDescent="0.25">
      <c r="A134" s="116"/>
      <c r="B134" s="580"/>
      <c r="C134" s="581"/>
      <c r="D134" s="581"/>
      <c r="E134" s="581"/>
      <c r="F134" s="581"/>
      <c r="G134" s="582"/>
      <c r="H134" s="181"/>
      <c r="I134" s="182"/>
      <c r="J134" s="282"/>
      <c r="K134" s="283"/>
      <c r="L134" s="130"/>
      <c r="M134" s="131"/>
      <c r="N134" s="131"/>
      <c r="O134" s="131"/>
      <c r="P134" s="131"/>
      <c r="Q134" s="131"/>
      <c r="R134" s="131"/>
      <c r="S134" s="131"/>
      <c r="T134" s="131"/>
      <c r="U134" s="132" t="s">
        <v>125</v>
      </c>
      <c r="W134" s="888"/>
      <c r="X134" s="858"/>
      <c r="Y134" s="858"/>
      <c r="Z134" s="889"/>
    </row>
    <row r="135" spans="1:26" ht="15" customHeight="1" thickBot="1" x14ac:dyDescent="0.25">
      <c r="A135" s="116"/>
      <c r="B135" s="1112" t="s">
        <v>748</v>
      </c>
      <c r="C135" s="1113"/>
      <c r="D135" s="1113"/>
      <c r="E135" s="1113"/>
      <c r="F135" s="1113"/>
      <c r="G135" s="1114"/>
      <c r="H135" s="225" t="s">
        <v>712</v>
      </c>
      <c r="I135" s="223" t="s">
        <v>10</v>
      </c>
      <c r="J135" s="250"/>
      <c r="K135" s="251"/>
      <c r="L135" s="906" t="s">
        <v>750</v>
      </c>
      <c r="M135" s="1159"/>
      <c r="N135" s="1160"/>
      <c r="O135" s="1161"/>
      <c r="P135" s="1162"/>
      <c r="Q135" s="1161"/>
      <c r="R135" s="1162"/>
      <c r="S135" s="1161"/>
      <c r="T135" s="1159"/>
      <c r="U135" s="907"/>
      <c r="W135" s="888"/>
      <c r="X135" s="858"/>
      <c r="Y135" s="858"/>
      <c r="Z135" s="889"/>
    </row>
    <row r="136" spans="1:26" ht="15" customHeight="1" x14ac:dyDescent="0.2">
      <c r="A136" s="116"/>
      <c r="B136" s="518" t="s">
        <v>139</v>
      </c>
      <c r="C136" s="519"/>
      <c r="D136" s="519"/>
      <c r="E136" s="519"/>
      <c r="F136" s="519"/>
      <c r="G136" s="520"/>
      <c r="H136" s="123"/>
      <c r="I136" s="124"/>
      <c r="J136" s="250"/>
      <c r="K136" s="251"/>
      <c r="L136" s="179" t="s">
        <v>21</v>
      </c>
      <c r="M136" s="179" t="s">
        <v>753</v>
      </c>
      <c r="N136" s="179" t="s">
        <v>760</v>
      </c>
      <c r="O136" s="179" t="s">
        <v>776</v>
      </c>
      <c r="P136" s="179" t="s">
        <v>761</v>
      </c>
      <c r="Q136" s="179" t="s">
        <v>762</v>
      </c>
      <c r="R136" s="179" t="s">
        <v>1315</v>
      </c>
      <c r="S136" s="179" t="s">
        <v>1316</v>
      </c>
      <c r="T136" s="179" t="s">
        <v>1317</v>
      </c>
      <c r="U136" s="127" t="s">
        <v>25</v>
      </c>
      <c r="W136" s="888"/>
      <c r="X136" s="858"/>
      <c r="Y136" s="858"/>
      <c r="Z136" s="889"/>
    </row>
    <row r="137" spans="1:26" ht="15" customHeight="1" thickBot="1" x14ac:dyDescent="0.25">
      <c r="A137" s="116"/>
      <c r="B137" s="580" t="s">
        <v>138</v>
      </c>
      <c r="C137" s="581"/>
      <c r="D137" s="581"/>
      <c r="E137" s="581"/>
      <c r="F137" s="581"/>
      <c r="G137" s="582"/>
      <c r="H137" s="181"/>
      <c r="I137" s="182"/>
      <c r="J137" s="282"/>
      <c r="K137" s="283"/>
      <c r="L137" s="152"/>
      <c r="M137" s="183"/>
      <c r="N137" s="183"/>
      <c r="O137" s="183"/>
      <c r="P137" s="183"/>
      <c r="Q137" s="183"/>
      <c r="R137" s="183"/>
      <c r="S137" s="183"/>
      <c r="T137" s="183"/>
      <c r="U137" s="184" t="s">
        <v>125</v>
      </c>
      <c r="W137" s="1129"/>
      <c r="X137" s="1130"/>
      <c r="Y137" s="1130"/>
      <c r="Z137" s="1131"/>
    </row>
    <row r="138" spans="1:26" ht="15" customHeight="1" x14ac:dyDescent="0.2">
      <c r="A138" s="116"/>
      <c r="B138" s="559" t="s">
        <v>676</v>
      </c>
      <c r="C138" s="560"/>
      <c r="D138" s="560"/>
      <c r="E138" s="560"/>
      <c r="F138" s="560"/>
      <c r="G138" s="561"/>
      <c r="H138" s="185"/>
      <c r="I138" s="134" t="s">
        <v>135</v>
      </c>
      <c r="J138" s="255"/>
      <c r="K138" s="256"/>
      <c r="L138" s="198"/>
      <c r="M138" s="193"/>
      <c r="N138" s="193"/>
      <c r="O138" s="193"/>
      <c r="P138" s="193"/>
      <c r="Q138" s="193"/>
      <c r="R138" s="193"/>
      <c r="S138" s="193"/>
      <c r="T138" s="193"/>
      <c r="U138" s="221" t="s">
        <v>125</v>
      </c>
      <c r="W138" s="859" t="s">
        <v>756</v>
      </c>
      <c r="X138" s="860"/>
      <c r="Y138" s="860"/>
      <c r="Z138" s="861"/>
    </row>
    <row r="139" spans="1:26" ht="15" customHeight="1" x14ac:dyDescent="0.2">
      <c r="A139" s="116"/>
      <c r="B139" s="562" t="s">
        <v>131</v>
      </c>
      <c r="C139" s="563"/>
      <c r="D139" s="563"/>
      <c r="E139" s="563"/>
      <c r="F139" s="563"/>
      <c r="G139" s="564"/>
      <c r="H139" s="66"/>
      <c r="I139" s="135" t="s">
        <v>136</v>
      </c>
      <c r="J139" s="257"/>
      <c r="K139" s="258"/>
      <c r="L139" s="199"/>
      <c r="M139" s="186"/>
      <c r="N139" s="186"/>
      <c r="O139" s="186"/>
      <c r="P139" s="186"/>
      <c r="Q139" s="186"/>
      <c r="R139" s="186"/>
      <c r="S139" s="186"/>
      <c r="T139" s="128"/>
      <c r="U139" s="204" t="s">
        <v>125</v>
      </c>
      <c r="W139" s="862"/>
      <c r="X139" s="863"/>
      <c r="Y139" s="863"/>
      <c r="Z139" s="864"/>
    </row>
    <row r="140" spans="1:26" ht="15" customHeight="1" x14ac:dyDescent="0.2">
      <c r="A140" s="116"/>
      <c r="B140" s="562" t="s">
        <v>132</v>
      </c>
      <c r="C140" s="563"/>
      <c r="D140" s="563"/>
      <c r="E140" s="563"/>
      <c r="F140" s="563"/>
      <c r="G140" s="564"/>
      <c r="H140" s="66"/>
      <c r="I140" s="135" t="s">
        <v>137</v>
      </c>
      <c r="J140" s="257"/>
      <c r="K140" s="258"/>
      <c r="L140" s="199"/>
      <c r="M140" s="186"/>
      <c r="N140" s="186"/>
      <c r="O140" s="186"/>
      <c r="P140" s="186"/>
      <c r="Q140" s="186"/>
      <c r="R140" s="186"/>
      <c r="S140" s="186"/>
      <c r="T140" s="128"/>
      <c r="U140" s="204" t="s">
        <v>125</v>
      </c>
      <c r="W140" s="862"/>
      <c r="X140" s="863"/>
      <c r="Y140" s="863"/>
      <c r="Z140" s="864"/>
    </row>
    <row r="141" spans="1:26" ht="15" customHeight="1" x14ac:dyDescent="0.2">
      <c r="A141" s="116"/>
      <c r="B141" s="627" t="s">
        <v>133</v>
      </c>
      <c r="C141" s="628"/>
      <c r="D141" s="628"/>
      <c r="E141" s="628"/>
      <c r="F141" s="628"/>
      <c r="G141" s="629"/>
      <c r="H141" s="136"/>
      <c r="I141" s="137" t="s">
        <v>135</v>
      </c>
      <c r="J141" s="257"/>
      <c r="K141" s="258"/>
      <c r="L141" s="199"/>
      <c r="M141" s="186"/>
      <c r="N141" s="186"/>
      <c r="O141" s="186"/>
      <c r="P141" s="186"/>
      <c r="Q141" s="186"/>
      <c r="R141" s="186"/>
      <c r="S141" s="186"/>
      <c r="T141" s="128"/>
      <c r="U141" s="204" t="s">
        <v>125</v>
      </c>
      <c r="W141" s="862"/>
      <c r="X141" s="863"/>
      <c r="Y141" s="863"/>
      <c r="Z141" s="864"/>
    </row>
    <row r="142" spans="1:26" ht="15" customHeight="1" thickBot="1" x14ac:dyDescent="0.25">
      <c r="A142" s="116"/>
      <c r="B142" s="1104" t="s">
        <v>134</v>
      </c>
      <c r="C142" s="1105"/>
      <c r="D142" s="1105"/>
      <c r="E142" s="1105"/>
      <c r="F142" s="1105"/>
      <c r="G142" s="1106"/>
      <c r="H142" s="60"/>
      <c r="I142" s="78" t="s">
        <v>136</v>
      </c>
      <c r="J142" s="250"/>
      <c r="K142" s="259"/>
      <c r="L142" s="200"/>
      <c r="M142" s="196"/>
      <c r="N142" s="196"/>
      <c r="O142" s="196"/>
      <c r="P142" s="196"/>
      <c r="Q142" s="196"/>
      <c r="R142" s="196"/>
      <c r="S142" s="196"/>
      <c r="T142" s="123"/>
      <c r="U142" s="205" t="s">
        <v>125</v>
      </c>
      <c r="W142" s="865"/>
      <c r="X142" s="866"/>
      <c r="Y142" s="866"/>
      <c r="Z142" s="867"/>
    </row>
    <row r="143" spans="1:26" x14ac:dyDescent="0.2">
      <c r="B143" s="462" t="s">
        <v>700</v>
      </c>
      <c r="C143" s="463"/>
      <c r="D143" s="463"/>
      <c r="E143" s="463"/>
      <c r="F143" s="463"/>
      <c r="G143" s="464"/>
      <c r="H143" s="139"/>
      <c r="I143" s="140" t="s">
        <v>701</v>
      </c>
      <c r="J143" s="246" t="s">
        <v>21</v>
      </c>
      <c r="K143" s="260">
        <v>1</v>
      </c>
      <c r="L143" s="674"/>
      <c r="M143" s="675"/>
      <c r="N143" s="675"/>
      <c r="O143" s="675"/>
      <c r="P143" s="675"/>
      <c r="Q143" s="675"/>
      <c r="R143" s="675"/>
      <c r="S143" s="675"/>
      <c r="T143" s="675"/>
      <c r="U143" s="676"/>
    </row>
    <row r="144" spans="1:26" x14ac:dyDescent="0.2">
      <c r="B144" s="1107" t="s">
        <v>702</v>
      </c>
      <c r="C144" s="1108"/>
      <c r="D144" s="1108"/>
      <c r="E144" s="1108"/>
      <c r="F144" s="1108"/>
      <c r="G144" s="1108"/>
      <c r="H144" s="197"/>
      <c r="I144" s="224" t="s">
        <v>703</v>
      </c>
      <c r="J144" s="261" t="s">
        <v>21</v>
      </c>
      <c r="K144" s="262">
        <v>1</v>
      </c>
      <c r="L144" s="1109"/>
      <c r="M144" s="1110"/>
      <c r="N144" s="1110"/>
      <c r="O144" s="1110"/>
      <c r="P144" s="1110"/>
      <c r="Q144" s="1110"/>
      <c r="R144" s="1110"/>
      <c r="S144" s="1110"/>
      <c r="T144" s="1110"/>
      <c r="U144" s="1111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</mergeCells>
  <conditionalFormatting sqref="K6 K8 K14 K16">
    <cfRule type="notContainsBlanks" dxfId="109" priority="137">
      <formula>LEN(TRIM(K6))&gt;0</formula>
    </cfRule>
  </conditionalFormatting>
  <conditionalFormatting sqref="J6 J8 J14 J16">
    <cfRule type="notContainsBlanks" dxfId="108" priority="136">
      <formula>LEN(TRIM(J6))&gt;0</formula>
    </cfRule>
  </conditionalFormatting>
  <conditionalFormatting sqref="K10">
    <cfRule type="notContainsBlanks" dxfId="107" priority="135">
      <formula>LEN(TRIM(K10))&gt;0</formula>
    </cfRule>
  </conditionalFormatting>
  <conditionalFormatting sqref="J10">
    <cfRule type="notContainsBlanks" dxfId="106" priority="134">
      <formula>LEN(TRIM(J10))&gt;0</formula>
    </cfRule>
  </conditionalFormatting>
  <conditionalFormatting sqref="K12">
    <cfRule type="notContainsBlanks" dxfId="105" priority="133">
      <formula>LEN(TRIM(K12))&gt;0</formula>
    </cfRule>
  </conditionalFormatting>
  <conditionalFormatting sqref="J12">
    <cfRule type="notContainsBlanks" dxfId="104" priority="132">
      <formula>LEN(TRIM(J12))&gt;0</formula>
    </cfRule>
  </conditionalFormatting>
  <conditionalFormatting sqref="B36:F37 I36:J37">
    <cfRule type="cellIs" dxfId="103" priority="131" operator="between">
      <formula>0</formula>
      <formula>0.0000000001</formula>
    </cfRule>
  </conditionalFormatting>
  <conditionalFormatting sqref="B24:F25">
    <cfRule type="cellIs" dxfId="102" priority="130" operator="between">
      <formula>0</formula>
      <formula>0.0000000001</formula>
    </cfRule>
  </conditionalFormatting>
  <conditionalFormatting sqref="B26:F26">
    <cfRule type="cellIs" dxfId="101" priority="129" operator="between">
      <formula>0</formula>
      <formula>0.0000000001</formula>
    </cfRule>
  </conditionalFormatting>
  <conditionalFormatting sqref="B28:F28">
    <cfRule type="cellIs" dxfId="100" priority="128" operator="between">
      <formula>0</formula>
      <formula>0.0000000001</formula>
    </cfRule>
  </conditionalFormatting>
  <conditionalFormatting sqref="B34:F35 I34:J35">
    <cfRule type="cellIs" dxfId="99" priority="125" operator="between">
      <formula>0</formula>
      <formula>0.0000000001</formula>
    </cfRule>
  </conditionalFormatting>
  <conditionalFormatting sqref="B30:F30">
    <cfRule type="cellIs" dxfId="98" priority="124" operator="between">
      <formula>0</formula>
      <formula>0.0000000001</formula>
    </cfRule>
  </conditionalFormatting>
  <conditionalFormatting sqref="B38:F38 I38:J39">
    <cfRule type="cellIs" dxfId="97" priority="123" operator="between">
      <formula>0</formula>
      <formula>0.0000000001</formula>
    </cfRule>
  </conditionalFormatting>
  <conditionalFormatting sqref="B40:F40 H41:J41 I40:J40">
    <cfRule type="cellIs" dxfId="96" priority="122" operator="between">
      <formula>0</formula>
      <formula>0.0000000001</formula>
    </cfRule>
  </conditionalFormatting>
  <conditionalFormatting sqref="L56">
    <cfRule type="expression" dxfId="95" priority="104">
      <formula>$L$56=""</formula>
    </cfRule>
  </conditionalFormatting>
  <conditionalFormatting sqref="M56">
    <cfRule type="expression" dxfId="94" priority="97">
      <formula>$M$56=""</formula>
    </cfRule>
  </conditionalFormatting>
  <conditionalFormatting sqref="N56">
    <cfRule type="expression" dxfId="93" priority="98">
      <formula>$N$56=""</formula>
    </cfRule>
  </conditionalFormatting>
  <conditionalFormatting sqref="O56">
    <cfRule type="expression" dxfId="92" priority="95">
      <formula>$O$56=""</formula>
    </cfRule>
  </conditionalFormatting>
  <conditionalFormatting sqref="P56">
    <cfRule type="expression" dxfId="91" priority="94">
      <formula>$P$56=""</formula>
    </cfRule>
  </conditionalFormatting>
  <conditionalFormatting sqref="Q56">
    <cfRule type="expression" dxfId="90" priority="93">
      <formula>$Q$56=""</formula>
    </cfRule>
  </conditionalFormatting>
  <conditionalFormatting sqref="R56">
    <cfRule type="expression" dxfId="89" priority="92">
      <formula>$R$56=""</formula>
    </cfRule>
  </conditionalFormatting>
  <conditionalFormatting sqref="S56">
    <cfRule type="expression" dxfId="88" priority="91">
      <formula>$S$56=""</formula>
    </cfRule>
  </conditionalFormatting>
  <conditionalFormatting sqref="T56">
    <cfRule type="expression" dxfId="87" priority="90">
      <formula>$T$56=""</formula>
    </cfRule>
  </conditionalFormatting>
  <conditionalFormatting sqref="L60">
    <cfRule type="expression" dxfId="86" priority="89">
      <formula>$L$60=""</formula>
    </cfRule>
  </conditionalFormatting>
  <conditionalFormatting sqref="M60">
    <cfRule type="expression" dxfId="85" priority="88">
      <formula>$M$60=""</formula>
    </cfRule>
  </conditionalFormatting>
  <conditionalFormatting sqref="N60">
    <cfRule type="expression" dxfId="84" priority="87">
      <formula>$N$60=""</formula>
    </cfRule>
  </conditionalFormatting>
  <conditionalFormatting sqref="O60">
    <cfRule type="expression" dxfId="83" priority="86">
      <formula>$O$60=""</formula>
    </cfRule>
  </conditionalFormatting>
  <conditionalFormatting sqref="P60">
    <cfRule type="expression" dxfId="82" priority="85">
      <formula>$P$60=""</formula>
    </cfRule>
  </conditionalFormatting>
  <conditionalFormatting sqref="Q60">
    <cfRule type="expression" dxfId="81" priority="84">
      <formula>$Q$60=""</formula>
    </cfRule>
  </conditionalFormatting>
  <conditionalFormatting sqref="R60">
    <cfRule type="expression" dxfId="80" priority="83">
      <formula>$R$60=""</formula>
    </cfRule>
  </conditionalFormatting>
  <conditionalFormatting sqref="S60">
    <cfRule type="expression" dxfId="79" priority="82">
      <formula>$S$60=""</formula>
    </cfRule>
  </conditionalFormatting>
  <conditionalFormatting sqref="L64">
    <cfRule type="expression" dxfId="78" priority="80">
      <formula>$L$64=""</formula>
    </cfRule>
  </conditionalFormatting>
  <conditionalFormatting sqref="M64">
    <cfRule type="expression" dxfId="77" priority="79">
      <formula>$M$64=""</formula>
    </cfRule>
  </conditionalFormatting>
  <conditionalFormatting sqref="N64">
    <cfRule type="expression" dxfId="76" priority="78">
      <formula>$N$64=""</formula>
    </cfRule>
  </conditionalFormatting>
  <conditionalFormatting sqref="O64">
    <cfRule type="expression" dxfId="75" priority="77">
      <formula>$O$64=""</formula>
    </cfRule>
  </conditionalFormatting>
  <conditionalFormatting sqref="P64">
    <cfRule type="expression" dxfId="74" priority="76">
      <formula>$P$64=""</formula>
    </cfRule>
  </conditionalFormatting>
  <conditionalFormatting sqref="Q64">
    <cfRule type="expression" dxfId="73" priority="75">
      <formula>$Q$64=""</formula>
    </cfRule>
  </conditionalFormatting>
  <conditionalFormatting sqref="R64">
    <cfRule type="expression" dxfId="72" priority="74">
      <formula>$R$64=""</formula>
    </cfRule>
  </conditionalFormatting>
  <conditionalFormatting sqref="S64">
    <cfRule type="expression" dxfId="71" priority="73">
      <formula>$S$64=""</formula>
    </cfRule>
  </conditionalFormatting>
  <conditionalFormatting sqref="T64">
    <cfRule type="expression" dxfId="70" priority="72">
      <formula>$T$64=""</formula>
    </cfRule>
  </conditionalFormatting>
  <conditionalFormatting sqref="L68">
    <cfRule type="expression" dxfId="69" priority="71">
      <formula>$L$68=""</formula>
    </cfRule>
  </conditionalFormatting>
  <conditionalFormatting sqref="M68">
    <cfRule type="expression" dxfId="68" priority="70">
      <formula>$M$68=""</formula>
    </cfRule>
  </conditionalFormatting>
  <conditionalFormatting sqref="N68">
    <cfRule type="expression" dxfId="67" priority="69">
      <formula>$N$68=""</formula>
    </cfRule>
  </conditionalFormatting>
  <conditionalFormatting sqref="O68">
    <cfRule type="expression" dxfId="66" priority="68">
      <formula>$O$68=""</formula>
    </cfRule>
  </conditionalFormatting>
  <conditionalFormatting sqref="P68">
    <cfRule type="expression" dxfId="65" priority="67">
      <formula>$P$68=""</formula>
    </cfRule>
  </conditionalFormatting>
  <conditionalFormatting sqref="Q68">
    <cfRule type="expression" dxfId="64" priority="66">
      <formula>$Q$68=""</formula>
    </cfRule>
  </conditionalFormatting>
  <conditionalFormatting sqref="R68">
    <cfRule type="expression" dxfId="63" priority="65">
      <formula>$R$68=""</formula>
    </cfRule>
  </conditionalFormatting>
  <conditionalFormatting sqref="S68">
    <cfRule type="expression" dxfId="62" priority="64">
      <formula>$S$68=""</formula>
    </cfRule>
  </conditionalFormatting>
  <conditionalFormatting sqref="T68">
    <cfRule type="expression" dxfId="61" priority="63">
      <formula>$T$68=""</formula>
    </cfRule>
  </conditionalFormatting>
  <conditionalFormatting sqref="L72">
    <cfRule type="expression" dxfId="60" priority="62">
      <formula>$L$72=""</formula>
    </cfRule>
  </conditionalFormatting>
  <conditionalFormatting sqref="M72">
    <cfRule type="expression" dxfId="59" priority="61">
      <formula>$M$72=""</formula>
    </cfRule>
  </conditionalFormatting>
  <conditionalFormatting sqref="N72">
    <cfRule type="expression" dxfId="58" priority="60">
      <formula>$N$72=""</formula>
    </cfRule>
  </conditionalFormatting>
  <conditionalFormatting sqref="O72">
    <cfRule type="expression" dxfId="57" priority="59">
      <formula>$O$72=""</formula>
    </cfRule>
  </conditionalFormatting>
  <conditionalFormatting sqref="P72">
    <cfRule type="expression" dxfId="56" priority="58">
      <formula>$P$72=""</formula>
    </cfRule>
  </conditionalFormatting>
  <conditionalFormatting sqref="Q72">
    <cfRule type="expression" dxfId="55" priority="57">
      <formula>$Q$72=""</formula>
    </cfRule>
  </conditionalFormatting>
  <conditionalFormatting sqref="R72">
    <cfRule type="expression" dxfId="54" priority="56">
      <formula>$R$72=""</formula>
    </cfRule>
  </conditionalFormatting>
  <conditionalFormatting sqref="S72">
    <cfRule type="expression" dxfId="53" priority="55">
      <formula>$S$72=""</formula>
    </cfRule>
  </conditionalFormatting>
  <conditionalFormatting sqref="T72">
    <cfRule type="expression" dxfId="52" priority="54">
      <formula>$T$72=""</formula>
    </cfRule>
  </conditionalFormatting>
  <conditionalFormatting sqref="L76">
    <cfRule type="expression" dxfId="51" priority="53">
      <formula>$L$76=""</formula>
    </cfRule>
  </conditionalFormatting>
  <conditionalFormatting sqref="M76">
    <cfRule type="expression" dxfId="50" priority="52">
      <formula>$M$76=""</formula>
    </cfRule>
  </conditionalFormatting>
  <conditionalFormatting sqref="N76">
    <cfRule type="expression" dxfId="49" priority="51">
      <formula>$N$76=""</formula>
    </cfRule>
  </conditionalFormatting>
  <conditionalFormatting sqref="O76">
    <cfRule type="expression" dxfId="48" priority="50">
      <formula>$O$76=""</formula>
    </cfRule>
  </conditionalFormatting>
  <conditionalFormatting sqref="P76">
    <cfRule type="expression" dxfId="47" priority="49">
      <formula>$P$76=""</formula>
    </cfRule>
  </conditionalFormatting>
  <conditionalFormatting sqref="Q76">
    <cfRule type="expression" dxfId="46" priority="48">
      <formula>$Q$76=""</formula>
    </cfRule>
  </conditionalFormatting>
  <conditionalFormatting sqref="R76">
    <cfRule type="expression" dxfId="45" priority="47">
      <formula>$R$76=""</formula>
    </cfRule>
  </conditionalFormatting>
  <conditionalFormatting sqref="S76">
    <cfRule type="expression" dxfId="44" priority="46">
      <formula>$S$76=""</formula>
    </cfRule>
  </conditionalFormatting>
  <conditionalFormatting sqref="T76">
    <cfRule type="expression" dxfId="43" priority="45">
      <formula>$T$76=""</formula>
    </cfRule>
  </conditionalFormatting>
  <conditionalFormatting sqref="L18:M18">
    <cfRule type="expression" dxfId="42" priority="43">
      <formula>$L$18&lt;&gt;""</formula>
    </cfRule>
    <cfRule type="expression" dxfId="41" priority="44">
      <formula>$L$18=""</formula>
    </cfRule>
  </conditionalFormatting>
  <conditionalFormatting sqref="L19:M19">
    <cfRule type="expression" dxfId="40" priority="41">
      <formula>$L$19&lt;&gt;""</formula>
    </cfRule>
    <cfRule type="expression" dxfId="39" priority="42">
      <formula>$L$19=""</formula>
    </cfRule>
  </conditionalFormatting>
  <conditionalFormatting sqref="L20:M20">
    <cfRule type="expression" dxfId="38" priority="39">
      <formula>$L$20&lt;&gt;""</formula>
    </cfRule>
    <cfRule type="expression" dxfId="37" priority="40">
      <formula>$L$20=""</formula>
    </cfRule>
  </conditionalFormatting>
  <conditionalFormatting sqref="L21:M21">
    <cfRule type="expression" dxfId="36" priority="37">
      <formula>$L$21&lt;&gt;""</formula>
    </cfRule>
    <cfRule type="expression" dxfId="35" priority="38">
      <formula>$L$21=""</formula>
    </cfRule>
  </conditionalFormatting>
  <conditionalFormatting sqref="T60">
    <cfRule type="expression" dxfId="34" priority="36">
      <formula>$T$56=""</formula>
    </cfRule>
  </conditionalFormatting>
  <conditionalFormatting sqref="B32:F33 I32:J33">
    <cfRule type="cellIs" dxfId="33" priority="35" operator="between">
      <formula>0</formula>
      <formula>0.0000000001</formula>
    </cfRule>
  </conditionalFormatting>
  <conditionalFormatting sqref="T2:T3">
    <cfRule type="expression" dxfId="32" priority="31">
      <formula>$T$2=""</formula>
    </cfRule>
    <cfRule type="containsText" dxfId="31" priority="34" operator="containsText" text="#">
      <formula>NOT(ISERROR(SEARCH("#",T2)))</formula>
    </cfRule>
  </conditionalFormatting>
  <conditionalFormatting sqref="U2">
    <cfRule type="expression" dxfId="30" priority="32">
      <formula>$T$2=""</formula>
    </cfRule>
    <cfRule type="expression" dxfId="29" priority="33">
      <formula>$T$2="#"</formula>
    </cfRule>
  </conditionalFormatting>
  <conditionalFormatting sqref="L44">
    <cfRule type="notContainsBlanks" dxfId="28" priority="30">
      <formula>LEN(TRIM(L44))&gt;0</formula>
    </cfRule>
  </conditionalFormatting>
  <conditionalFormatting sqref="M44">
    <cfRule type="notContainsBlanks" dxfId="27" priority="29">
      <formula>LEN(TRIM(M44))&gt;0</formula>
    </cfRule>
  </conditionalFormatting>
  <conditionalFormatting sqref="N44">
    <cfRule type="notContainsBlanks" dxfId="26" priority="28">
      <formula>LEN(TRIM(N44))&gt;0</formula>
    </cfRule>
  </conditionalFormatting>
  <conditionalFormatting sqref="T48">
    <cfRule type="notContainsBlanks" dxfId="25" priority="15">
      <formula>LEN(TRIM(T48))&gt;0</formula>
    </cfRule>
  </conditionalFormatting>
  <conditionalFormatting sqref="P44">
    <cfRule type="notContainsBlanks" dxfId="24" priority="27">
      <formula>LEN(TRIM(P44))&gt;0</formula>
    </cfRule>
  </conditionalFormatting>
  <conditionalFormatting sqref="Q44">
    <cfRule type="notContainsBlanks" dxfId="23" priority="26">
      <formula>LEN(TRIM(Q44))&gt;0</formula>
    </cfRule>
  </conditionalFormatting>
  <conditionalFormatting sqref="R44">
    <cfRule type="notContainsBlanks" dxfId="22" priority="25">
      <formula>LEN(TRIM(R44))&gt;0</formula>
    </cfRule>
  </conditionalFormatting>
  <conditionalFormatting sqref="S44">
    <cfRule type="notContainsBlanks" dxfId="21" priority="24">
      <formula>LEN(TRIM(S44))&gt;0</formula>
    </cfRule>
  </conditionalFormatting>
  <conditionalFormatting sqref="T44">
    <cfRule type="notContainsBlanks" dxfId="20" priority="23">
      <formula>LEN(TRIM(T44))&gt;0</formula>
    </cfRule>
  </conditionalFormatting>
  <conditionalFormatting sqref="L48">
    <cfRule type="notContainsBlanks" dxfId="19" priority="22">
      <formula>LEN(TRIM(L48))&gt;0</formula>
    </cfRule>
  </conditionalFormatting>
  <conditionalFormatting sqref="M48">
    <cfRule type="notContainsBlanks" dxfId="18" priority="21">
      <formula>LEN(TRIM(M48))&gt;0</formula>
    </cfRule>
  </conditionalFormatting>
  <conditionalFormatting sqref="N48">
    <cfRule type="notContainsBlanks" dxfId="17" priority="20">
      <formula>LEN(TRIM(N48))&gt;0</formula>
    </cfRule>
  </conditionalFormatting>
  <conditionalFormatting sqref="P48">
    <cfRule type="notContainsBlanks" dxfId="16" priority="19">
      <formula>LEN(TRIM(P48))&gt;0</formula>
    </cfRule>
  </conditionalFormatting>
  <conditionalFormatting sqref="Q48">
    <cfRule type="notContainsBlanks" dxfId="15" priority="18">
      <formula>LEN(TRIM(Q48))&gt;0</formula>
    </cfRule>
  </conditionalFormatting>
  <conditionalFormatting sqref="R48">
    <cfRule type="notContainsBlanks" dxfId="14" priority="17">
      <formula>LEN(TRIM(R48))&gt;0</formula>
    </cfRule>
  </conditionalFormatting>
  <conditionalFormatting sqref="S48">
    <cfRule type="notContainsBlanks" dxfId="13" priority="16">
      <formula>LEN(TRIM(S48))&gt;0</formula>
    </cfRule>
  </conditionalFormatting>
  <conditionalFormatting sqref="H37">
    <cfRule type="cellIs" dxfId="12" priority="14" operator="between">
      <formula>0</formula>
      <formula>0.0000000001</formula>
    </cfRule>
  </conditionalFormatting>
  <conditionalFormatting sqref="H35">
    <cfRule type="cellIs" dxfId="11" priority="13" operator="between">
      <formula>0</formula>
      <formula>0.0000000001</formula>
    </cfRule>
  </conditionalFormatting>
  <conditionalFormatting sqref="H39">
    <cfRule type="cellIs" dxfId="10" priority="12" operator="between">
      <formula>0</formula>
      <formula>0.0000000001</formula>
    </cfRule>
  </conditionalFormatting>
  <conditionalFormatting sqref="H33">
    <cfRule type="cellIs" dxfId="9" priority="11" operator="between">
      <formula>0</formula>
      <formula>0.0000000001</formula>
    </cfRule>
  </conditionalFormatting>
  <conditionalFormatting sqref="S48">
    <cfRule type="notContainsBlanks" dxfId="8" priority="7">
      <formula>LEN(TRIM(S48))&gt;0</formula>
    </cfRule>
  </conditionalFormatting>
  <conditionalFormatting sqref="P48">
    <cfRule type="notContainsBlanks" dxfId="7" priority="10">
      <formula>LEN(TRIM(P48))&gt;0</formula>
    </cfRule>
  </conditionalFormatting>
  <conditionalFormatting sqref="Q48">
    <cfRule type="notContainsBlanks" dxfId="6" priority="9">
      <formula>LEN(TRIM(Q48))&gt;0</formula>
    </cfRule>
  </conditionalFormatting>
  <conditionalFormatting sqref="R48">
    <cfRule type="notContainsBlanks" dxfId="5" priority="8">
      <formula>LEN(TRIM(R48))&gt;0</formula>
    </cfRule>
  </conditionalFormatting>
  <conditionalFormatting sqref="L44">
    <cfRule type="notContainsBlanks" dxfId="4" priority="6">
      <formula>LEN(TRIM(L44))&gt;0</formula>
    </cfRule>
  </conditionalFormatting>
  <conditionalFormatting sqref="M44">
    <cfRule type="notContainsBlanks" dxfId="3" priority="5">
      <formula>LEN(TRIM(M44))&gt;0</formula>
    </cfRule>
  </conditionalFormatting>
  <conditionalFormatting sqref="N44">
    <cfRule type="notContainsBlanks" dxfId="2" priority="4">
      <formula>LEN(TRIM(N44))&gt;0</formula>
    </cfRule>
  </conditionalFormatting>
  <conditionalFormatting sqref="O48">
    <cfRule type="notContainsBlanks" dxfId="1" priority="2">
      <formula>LEN(TRIM(O48))&gt;0</formula>
    </cfRule>
  </conditionalFormatting>
  <conditionalFormatting sqref="O44">
    <cfRule type="notContainsBlanks" dxfId="0" priority="1">
      <formula>LEN(TRIM(O44))&gt;0</formula>
    </cfRule>
  </conditionalFormatting>
  <printOptions horizontalCentered="1" verticalCentered="1"/>
  <pageMargins left="0" right="0" top="0" bottom="0" header="0" footer="0"/>
  <pageSetup paperSize="5" scale="47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106" workbookViewId="0">
      <selection activeCell="G15" sqref="G1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293" t="s">
        <v>813</v>
      </c>
      <c r="B1" s="293" t="s">
        <v>814</v>
      </c>
    </row>
    <row r="2" spans="1:2" x14ac:dyDescent="0.2">
      <c r="A2" t="s">
        <v>815</v>
      </c>
      <c r="B2" t="s">
        <v>816</v>
      </c>
    </row>
    <row r="3" spans="1:2" x14ac:dyDescent="0.2">
      <c r="A3" t="s">
        <v>817</v>
      </c>
      <c r="B3" t="s">
        <v>818</v>
      </c>
    </row>
    <row r="4" spans="1:2" x14ac:dyDescent="0.2">
      <c r="A4" t="s">
        <v>570</v>
      </c>
      <c r="B4" t="s">
        <v>819</v>
      </c>
    </row>
    <row r="5" spans="1:2" x14ac:dyDescent="0.2">
      <c r="A5" t="s">
        <v>820</v>
      </c>
      <c r="B5" t="s">
        <v>821</v>
      </c>
    </row>
    <row r="6" spans="1:2" x14ac:dyDescent="0.2">
      <c r="A6" t="s">
        <v>822</v>
      </c>
      <c r="B6" t="s">
        <v>823</v>
      </c>
    </row>
    <row r="7" spans="1:2" x14ac:dyDescent="0.2">
      <c r="A7" t="s">
        <v>824</v>
      </c>
      <c r="B7" t="s">
        <v>825</v>
      </c>
    </row>
    <row r="8" spans="1:2" x14ac:dyDescent="0.2">
      <c r="A8" t="s">
        <v>826</v>
      </c>
      <c r="B8" t="s">
        <v>827</v>
      </c>
    </row>
    <row r="9" spans="1:2" x14ac:dyDescent="0.2">
      <c r="A9" t="s">
        <v>828</v>
      </c>
      <c r="B9" t="s">
        <v>829</v>
      </c>
    </row>
    <row r="10" spans="1:2" x14ac:dyDescent="0.2">
      <c r="A10" t="s">
        <v>830</v>
      </c>
      <c r="B10" t="s">
        <v>831</v>
      </c>
    </row>
    <row r="11" spans="1:2" x14ac:dyDescent="0.2">
      <c r="A11" t="s">
        <v>832</v>
      </c>
      <c r="B11" t="s">
        <v>833</v>
      </c>
    </row>
    <row r="12" spans="1:2" x14ac:dyDescent="0.2">
      <c r="A12" t="s">
        <v>834</v>
      </c>
      <c r="B12" t="s">
        <v>835</v>
      </c>
    </row>
    <row r="13" spans="1:2" x14ac:dyDescent="0.2">
      <c r="A13" t="s">
        <v>836</v>
      </c>
      <c r="B13" t="s">
        <v>837</v>
      </c>
    </row>
    <row r="14" spans="1:2" x14ac:dyDescent="0.2">
      <c r="A14" t="s">
        <v>838</v>
      </c>
      <c r="B14" t="s">
        <v>839</v>
      </c>
    </row>
    <row r="15" spans="1:2" x14ac:dyDescent="0.2">
      <c r="A15" t="s">
        <v>840</v>
      </c>
      <c r="B15" t="s">
        <v>841</v>
      </c>
    </row>
    <row r="16" spans="1:2" x14ac:dyDescent="0.2">
      <c r="A16" t="s">
        <v>842</v>
      </c>
      <c r="B16" t="s">
        <v>843</v>
      </c>
    </row>
    <row r="17" spans="1:2" x14ac:dyDescent="0.2">
      <c r="A17" t="s">
        <v>844</v>
      </c>
      <c r="B17" t="s">
        <v>845</v>
      </c>
    </row>
    <row r="18" spans="1:2" x14ac:dyDescent="0.2">
      <c r="A18" t="s">
        <v>846</v>
      </c>
      <c r="B18" t="s">
        <v>847</v>
      </c>
    </row>
    <row r="19" spans="1:2" x14ac:dyDescent="0.2">
      <c r="A19" t="s">
        <v>848</v>
      </c>
      <c r="B19" t="s">
        <v>849</v>
      </c>
    </row>
    <row r="20" spans="1:2" x14ac:dyDescent="0.2">
      <c r="A20" t="s">
        <v>850</v>
      </c>
      <c r="B20" t="s">
        <v>851</v>
      </c>
    </row>
    <row r="21" spans="1:2" x14ac:dyDescent="0.2">
      <c r="A21" t="s">
        <v>852</v>
      </c>
      <c r="B21" t="s">
        <v>853</v>
      </c>
    </row>
    <row r="22" spans="1:2" x14ac:dyDescent="0.2">
      <c r="A22" t="s">
        <v>854</v>
      </c>
      <c r="B22" t="s">
        <v>855</v>
      </c>
    </row>
    <row r="23" spans="1:2" x14ac:dyDescent="0.2">
      <c r="A23" t="s">
        <v>856</v>
      </c>
      <c r="B23" t="s">
        <v>857</v>
      </c>
    </row>
    <row r="24" spans="1:2" x14ac:dyDescent="0.2">
      <c r="A24" t="s">
        <v>858</v>
      </c>
      <c r="B24" t="s">
        <v>859</v>
      </c>
    </row>
    <row r="25" spans="1:2" x14ac:dyDescent="0.2">
      <c r="A25" t="s">
        <v>860</v>
      </c>
      <c r="B25" t="s">
        <v>861</v>
      </c>
    </row>
    <row r="26" spans="1:2" x14ac:dyDescent="0.2">
      <c r="A26" t="s">
        <v>862</v>
      </c>
      <c r="B26" t="s">
        <v>863</v>
      </c>
    </row>
    <row r="27" spans="1:2" x14ac:dyDescent="0.2">
      <c r="A27" t="s">
        <v>864</v>
      </c>
      <c r="B27" t="s">
        <v>865</v>
      </c>
    </row>
    <row r="28" spans="1:2" x14ac:dyDescent="0.2">
      <c r="A28" t="s">
        <v>866</v>
      </c>
      <c r="B28" t="s">
        <v>867</v>
      </c>
    </row>
    <row r="29" spans="1:2" x14ac:dyDescent="0.2">
      <c r="A29" t="s">
        <v>868</v>
      </c>
      <c r="B29" t="s">
        <v>869</v>
      </c>
    </row>
    <row r="30" spans="1:2" x14ac:dyDescent="0.2">
      <c r="A30" t="s">
        <v>870</v>
      </c>
      <c r="B30" t="s">
        <v>871</v>
      </c>
    </row>
    <row r="31" spans="1:2" x14ac:dyDescent="0.2">
      <c r="A31" t="s">
        <v>872</v>
      </c>
      <c r="B31" t="s">
        <v>873</v>
      </c>
    </row>
    <row r="32" spans="1:2" x14ac:dyDescent="0.2">
      <c r="A32" t="s">
        <v>874</v>
      </c>
      <c r="B32" t="s">
        <v>875</v>
      </c>
    </row>
    <row r="33" spans="1:2" x14ac:dyDescent="0.2">
      <c r="A33" t="s">
        <v>876</v>
      </c>
      <c r="B33" t="s">
        <v>877</v>
      </c>
    </row>
    <row r="34" spans="1:2" x14ac:dyDescent="0.2">
      <c r="A34" t="s">
        <v>878</v>
      </c>
      <c r="B34" t="s">
        <v>879</v>
      </c>
    </row>
    <row r="35" spans="1:2" x14ac:dyDescent="0.2">
      <c r="A35" t="s">
        <v>880</v>
      </c>
      <c r="B35" t="s">
        <v>881</v>
      </c>
    </row>
    <row r="36" spans="1:2" x14ac:dyDescent="0.2">
      <c r="A36" t="s">
        <v>882</v>
      </c>
      <c r="B36" t="s">
        <v>883</v>
      </c>
    </row>
    <row r="37" spans="1:2" x14ac:dyDescent="0.2">
      <c r="A37" t="s">
        <v>884</v>
      </c>
      <c r="B37" t="s">
        <v>885</v>
      </c>
    </row>
    <row r="38" spans="1:2" x14ac:dyDescent="0.2">
      <c r="A38" t="s">
        <v>886</v>
      </c>
      <c r="B38" t="s">
        <v>887</v>
      </c>
    </row>
    <row r="39" spans="1:2" x14ac:dyDescent="0.2">
      <c r="A39" t="s">
        <v>888</v>
      </c>
      <c r="B39" t="s">
        <v>889</v>
      </c>
    </row>
    <row r="40" spans="1:2" x14ac:dyDescent="0.2">
      <c r="A40" t="s">
        <v>890</v>
      </c>
      <c r="B40" t="s">
        <v>891</v>
      </c>
    </row>
    <row r="41" spans="1:2" x14ac:dyDescent="0.2">
      <c r="A41" t="s">
        <v>892</v>
      </c>
      <c r="B41" t="s">
        <v>893</v>
      </c>
    </row>
    <row r="42" spans="1:2" x14ac:dyDescent="0.2">
      <c r="A42" t="s">
        <v>894</v>
      </c>
      <c r="B42" t="s">
        <v>895</v>
      </c>
    </row>
    <row r="43" spans="1:2" x14ac:dyDescent="0.2">
      <c r="A43" t="s">
        <v>896</v>
      </c>
      <c r="B43" t="s">
        <v>897</v>
      </c>
    </row>
    <row r="44" spans="1:2" x14ac:dyDescent="0.2">
      <c r="A44" t="s">
        <v>898</v>
      </c>
      <c r="B44" t="s">
        <v>899</v>
      </c>
    </row>
    <row r="45" spans="1:2" x14ac:dyDescent="0.2">
      <c r="A45" t="s">
        <v>900</v>
      </c>
      <c r="B45" t="s">
        <v>901</v>
      </c>
    </row>
    <row r="46" spans="1:2" x14ac:dyDescent="0.2">
      <c r="A46" t="s">
        <v>902</v>
      </c>
      <c r="B46" t="s">
        <v>903</v>
      </c>
    </row>
    <row r="47" spans="1:2" x14ac:dyDescent="0.2">
      <c r="A47" t="s">
        <v>904</v>
      </c>
      <c r="B47" t="s">
        <v>905</v>
      </c>
    </row>
    <row r="48" spans="1:2" x14ac:dyDescent="0.2">
      <c r="A48" t="s">
        <v>906</v>
      </c>
      <c r="B48" t="s">
        <v>907</v>
      </c>
    </row>
    <row r="49" spans="1:2" x14ac:dyDescent="0.2">
      <c r="A49" t="s">
        <v>908</v>
      </c>
      <c r="B49" t="s">
        <v>909</v>
      </c>
    </row>
    <row r="50" spans="1:2" x14ac:dyDescent="0.2">
      <c r="A50" t="s">
        <v>910</v>
      </c>
      <c r="B50" t="s">
        <v>911</v>
      </c>
    </row>
    <row r="51" spans="1:2" x14ac:dyDescent="0.2">
      <c r="A51" t="s">
        <v>912</v>
      </c>
      <c r="B51" t="s">
        <v>913</v>
      </c>
    </row>
    <row r="52" spans="1:2" x14ac:dyDescent="0.2">
      <c r="A52" t="s">
        <v>914</v>
      </c>
      <c r="B52" t="s">
        <v>915</v>
      </c>
    </row>
    <row r="53" spans="1:2" x14ac:dyDescent="0.2">
      <c r="A53" t="s">
        <v>916</v>
      </c>
      <c r="B53" t="s">
        <v>917</v>
      </c>
    </row>
    <row r="54" spans="1:2" x14ac:dyDescent="0.2">
      <c r="A54" t="s">
        <v>918</v>
      </c>
      <c r="B54" t="s">
        <v>919</v>
      </c>
    </row>
    <row r="55" spans="1:2" x14ac:dyDescent="0.2">
      <c r="A55" t="s">
        <v>920</v>
      </c>
      <c r="B55" t="s">
        <v>921</v>
      </c>
    </row>
    <row r="56" spans="1:2" x14ac:dyDescent="0.2">
      <c r="A56" t="s">
        <v>922</v>
      </c>
      <c r="B56" t="s">
        <v>923</v>
      </c>
    </row>
    <row r="57" spans="1:2" x14ac:dyDescent="0.2">
      <c r="A57" t="s">
        <v>924</v>
      </c>
      <c r="B57" t="s">
        <v>925</v>
      </c>
    </row>
    <row r="58" spans="1:2" x14ac:dyDescent="0.2">
      <c r="A58" t="s">
        <v>926</v>
      </c>
      <c r="B58" t="s">
        <v>927</v>
      </c>
    </row>
    <row r="59" spans="1:2" x14ac:dyDescent="0.2">
      <c r="A59" t="s">
        <v>928</v>
      </c>
      <c r="B59" t="s">
        <v>929</v>
      </c>
    </row>
    <row r="60" spans="1:2" x14ac:dyDescent="0.2">
      <c r="A60" t="s">
        <v>930</v>
      </c>
      <c r="B60" t="s">
        <v>931</v>
      </c>
    </row>
    <row r="61" spans="1:2" x14ac:dyDescent="0.2">
      <c r="A61" t="s">
        <v>932</v>
      </c>
      <c r="B61" t="s">
        <v>933</v>
      </c>
    </row>
    <row r="62" spans="1:2" x14ac:dyDescent="0.2">
      <c r="A62" t="s">
        <v>934</v>
      </c>
      <c r="B62" t="s">
        <v>935</v>
      </c>
    </row>
    <row r="63" spans="1:2" x14ac:dyDescent="0.2">
      <c r="A63" t="s">
        <v>936</v>
      </c>
      <c r="B63" t="s">
        <v>937</v>
      </c>
    </row>
    <row r="64" spans="1:2" x14ac:dyDescent="0.2">
      <c r="A64" t="s">
        <v>938</v>
      </c>
      <c r="B64" t="s">
        <v>939</v>
      </c>
    </row>
    <row r="65" spans="1:2" x14ac:dyDescent="0.2">
      <c r="A65" t="s">
        <v>940</v>
      </c>
      <c r="B65" t="s">
        <v>941</v>
      </c>
    </row>
    <row r="66" spans="1:2" x14ac:dyDescent="0.2">
      <c r="A66" t="s">
        <v>942</v>
      </c>
      <c r="B66" t="s">
        <v>943</v>
      </c>
    </row>
    <row r="67" spans="1:2" x14ac:dyDescent="0.2">
      <c r="A67" t="s">
        <v>944</v>
      </c>
      <c r="B67" t="s">
        <v>945</v>
      </c>
    </row>
    <row r="68" spans="1:2" x14ac:dyDescent="0.2">
      <c r="A68" t="s">
        <v>946</v>
      </c>
      <c r="B68" t="s">
        <v>947</v>
      </c>
    </row>
    <row r="69" spans="1:2" x14ac:dyDescent="0.2">
      <c r="A69" t="s">
        <v>948</v>
      </c>
      <c r="B69" t="s">
        <v>949</v>
      </c>
    </row>
    <row r="70" spans="1:2" x14ac:dyDescent="0.2">
      <c r="A70" t="s">
        <v>950</v>
      </c>
      <c r="B70" t="s">
        <v>951</v>
      </c>
    </row>
    <row r="71" spans="1:2" x14ac:dyDescent="0.2">
      <c r="A71" t="s">
        <v>952</v>
      </c>
      <c r="B71" t="s">
        <v>953</v>
      </c>
    </row>
    <row r="72" spans="1:2" x14ac:dyDescent="0.2">
      <c r="A72" t="s">
        <v>954</v>
      </c>
      <c r="B72" t="s">
        <v>955</v>
      </c>
    </row>
    <row r="73" spans="1:2" x14ac:dyDescent="0.2">
      <c r="A73" t="s">
        <v>956</v>
      </c>
      <c r="B73" t="s">
        <v>957</v>
      </c>
    </row>
    <row r="74" spans="1:2" x14ac:dyDescent="0.2">
      <c r="A74" t="s">
        <v>958</v>
      </c>
      <c r="B74" t="s">
        <v>959</v>
      </c>
    </row>
    <row r="75" spans="1:2" x14ac:dyDescent="0.2">
      <c r="A75" t="s">
        <v>960</v>
      </c>
      <c r="B75" t="s">
        <v>961</v>
      </c>
    </row>
    <row r="76" spans="1:2" x14ac:dyDescent="0.2">
      <c r="A76" t="s">
        <v>962</v>
      </c>
      <c r="B76" t="s">
        <v>963</v>
      </c>
    </row>
    <row r="77" spans="1:2" x14ac:dyDescent="0.2">
      <c r="A77" t="s">
        <v>964</v>
      </c>
      <c r="B77" t="s">
        <v>965</v>
      </c>
    </row>
    <row r="78" spans="1:2" x14ac:dyDescent="0.2">
      <c r="A78" t="s">
        <v>966</v>
      </c>
      <c r="B78" t="s">
        <v>967</v>
      </c>
    </row>
    <row r="79" spans="1:2" x14ac:dyDescent="0.2">
      <c r="A79" t="s">
        <v>968</v>
      </c>
      <c r="B79" t="s">
        <v>969</v>
      </c>
    </row>
    <row r="80" spans="1:2" x14ac:dyDescent="0.2">
      <c r="A80" t="s">
        <v>970</v>
      </c>
      <c r="B80" t="s">
        <v>971</v>
      </c>
    </row>
    <row r="81" spans="1:2" x14ac:dyDescent="0.2">
      <c r="A81" t="s">
        <v>972</v>
      </c>
      <c r="B81" t="s">
        <v>973</v>
      </c>
    </row>
    <row r="82" spans="1:2" x14ac:dyDescent="0.2">
      <c r="A82" t="s">
        <v>974</v>
      </c>
      <c r="B82" t="s">
        <v>975</v>
      </c>
    </row>
    <row r="83" spans="1:2" x14ac:dyDescent="0.2">
      <c r="A83" t="s">
        <v>976</v>
      </c>
      <c r="B83" t="s">
        <v>977</v>
      </c>
    </row>
    <row r="84" spans="1:2" x14ac:dyDescent="0.2">
      <c r="A84" t="s">
        <v>978</v>
      </c>
      <c r="B84" t="s">
        <v>979</v>
      </c>
    </row>
    <row r="85" spans="1:2" x14ac:dyDescent="0.2">
      <c r="A85" t="s">
        <v>980</v>
      </c>
      <c r="B85" t="s">
        <v>981</v>
      </c>
    </row>
    <row r="86" spans="1:2" x14ac:dyDescent="0.2">
      <c r="A86" t="s">
        <v>982</v>
      </c>
      <c r="B86" t="s">
        <v>983</v>
      </c>
    </row>
    <row r="87" spans="1:2" x14ac:dyDescent="0.2">
      <c r="A87" t="s">
        <v>984</v>
      </c>
      <c r="B87" t="s">
        <v>985</v>
      </c>
    </row>
    <row r="88" spans="1:2" x14ac:dyDescent="0.2">
      <c r="A88" t="s">
        <v>986</v>
      </c>
      <c r="B88" t="s">
        <v>987</v>
      </c>
    </row>
    <row r="89" spans="1:2" x14ac:dyDescent="0.2">
      <c r="A89" t="s">
        <v>988</v>
      </c>
      <c r="B89" t="s">
        <v>989</v>
      </c>
    </row>
    <row r="90" spans="1:2" x14ac:dyDescent="0.2">
      <c r="A90" t="s">
        <v>990</v>
      </c>
      <c r="B90" t="s">
        <v>991</v>
      </c>
    </row>
    <row r="91" spans="1:2" x14ac:dyDescent="0.2">
      <c r="A91" t="s">
        <v>992</v>
      </c>
      <c r="B91" t="s">
        <v>993</v>
      </c>
    </row>
    <row r="92" spans="1:2" x14ac:dyDescent="0.2">
      <c r="A92" t="s">
        <v>994</v>
      </c>
      <c r="B92" t="s">
        <v>995</v>
      </c>
    </row>
    <row r="93" spans="1:2" x14ac:dyDescent="0.2">
      <c r="A93" t="s">
        <v>996</v>
      </c>
      <c r="B93" t="s">
        <v>997</v>
      </c>
    </row>
    <row r="94" spans="1:2" x14ac:dyDescent="0.2">
      <c r="A94" t="s">
        <v>998</v>
      </c>
      <c r="B94" t="s">
        <v>999</v>
      </c>
    </row>
    <row r="95" spans="1:2" x14ac:dyDescent="0.2">
      <c r="A95" t="s">
        <v>1000</v>
      </c>
      <c r="B95" t="s">
        <v>1001</v>
      </c>
    </row>
    <row r="96" spans="1:2" x14ac:dyDescent="0.2">
      <c r="A96" t="s">
        <v>1002</v>
      </c>
      <c r="B96" t="s">
        <v>1003</v>
      </c>
    </row>
    <row r="97" spans="1:2" x14ac:dyDescent="0.2">
      <c r="A97" t="s">
        <v>1004</v>
      </c>
      <c r="B97" t="s">
        <v>1005</v>
      </c>
    </row>
    <row r="98" spans="1:2" x14ac:dyDescent="0.2">
      <c r="A98" t="s">
        <v>1006</v>
      </c>
      <c r="B98" t="s">
        <v>1007</v>
      </c>
    </row>
    <row r="99" spans="1:2" x14ac:dyDescent="0.2">
      <c r="A99" t="s">
        <v>1008</v>
      </c>
      <c r="B99" t="s">
        <v>1009</v>
      </c>
    </row>
    <row r="100" spans="1:2" x14ac:dyDescent="0.2">
      <c r="A100" t="s">
        <v>1010</v>
      </c>
      <c r="B100" t="s">
        <v>1011</v>
      </c>
    </row>
    <row r="101" spans="1:2" x14ac:dyDescent="0.2">
      <c r="A101" t="s">
        <v>1012</v>
      </c>
      <c r="B101" t="s">
        <v>1013</v>
      </c>
    </row>
    <row r="102" spans="1:2" x14ac:dyDescent="0.2">
      <c r="A102" t="s">
        <v>1014</v>
      </c>
      <c r="B102" t="s">
        <v>1015</v>
      </c>
    </row>
    <row r="103" spans="1:2" x14ac:dyDescent="0.2">
      <c r="A103" t="s">
        <v>1016</v>
      </c>
      <c r="B103" t="s">
        <v>1017</v>
      </c>
    </row>
    <row r="104" spans="1:2" x14ac:dyDescent="0.2">
      <c r="A104" t="s">
        <v>1018</v>
      </c>
      <c r="B104" t="s">
        <v>1019</v>
      </c>
    </row>
    <row r="105" spans="1:2" x14ac:dyDescent="0.2">
      <c r="A105" t="s">
        <v>1020</v>
      </c>
      <c r="B105" t="s">
        <v>1021</v>
      </c>
    </row>
    <row r="106" spans="1:2" x14ac:dyDescent="0.2">
      <c r="A106" t="s">
        <v>1022</v>
      </c>
      <c r="B106" t="s">
        <v>1023</v>
      </c>
    </row>
    <row r="107" spans="1:2" x14ac:dyDescent="0.2">
      <c r="A107" t="s">
        <v>1024</v>
      </c>
      <c r="B107" t="s">
        <v>1025</v>
      </c>
    </row>
    <row r="108" spans="1:2" x14ac:dyDescent="0.2">
      <c r="A108" t="s">
        <v>1026</v>
      </c>
      <c r="B108" t="s">
        <v>1027</v>
      </c>
    </row>
    <row r="109" spans="1:2" x14ac:dyDescent="0.2">
      <c r="A109" t="s">
        <v>1028</v>
      </c>
      <c r="B109" t="s">
        <v>1029</v>
      </c>
    </row>
    <row r="110" spans="1:2" x14ac:dyDescent="0.2">
      <c r="A110" t="s">
        <v>1030</v>
      </c>
      <c r="B110" t="s">
        <v>1031</v>
      </c>
    </row>
    <row r="111" spans="1:2" x14ac:dyDescent="0.2">
      <c r="A111" t="s">
        <v>1032</v>
      </c>
      <c r="B111" t="s">
        <v>1033</v>
      </c>
    </row>
    <row r="112" spans="1:2" x14ac:dyDescent="0.2">
      <c r="A112" t="s">
        <v>1034</v>
      </c>
      <c r="B112" t="s">
        <v>1035</v>
      </c>
    </row>
    <row r="113" spans="1:2" x14ac:dyDescent="0.2">
      <c r="A113" t="s">
        <v>1036</v>
      </c>
      <c r="B113" t="s">
        <v>1037</v>
      </c>
    </row>
    <row r="114" spans="1:2" x14ac:dyDescent="0.2">
      <c r="A114" t="s">
        <v>1038</v>
      </c>
      <c r="B114" t="s">
        <v>1039</v>
      </c>
    </row>
    <row r="115" spans="1:2" x14ac:dyDescent="0.2">
      <c r="A115" t="s">
        <v>1040</v>
      </c>
      <c r="B115" t="s">
        <v>1041</v>
      </c>
    </row>
    <row r="116" spans="1:2" x14ac:dyDescent="0.2">
      <c r="A116" t="s">
        <v>1042</v>
      </c>
      <c r="B116" t="s">
        <v>1043</v>
      </c>
    </row>
    <row r="117" spans="1:2" x14ac:dyDescent="0.2">
      <c r="A117" t="s">
        <v>1044</v>
      </c>
      <c r="B117" t="s">
        <v>1045</v>
      </c>
    </row>
    <row r="118" spans="1:2" x14ac:dyDescent="0.2">
      <c r="A118" t="s">
        <v>1046</v>
      </c>
      <c r="B118" t="s">
        <v>1047</v>
      </c>
    </row>
    <row r="119" spans="1:2" x14ac:dyDescent="0.2">
      <c r="A119" t="s">
        <v>1048</v>
      </c>
      <c r="B119" t="s">
        <v>1049</v>
      </c>
    </row>
    <row r="120" spans="1:2" x14ac:dyDescent="0.2">
      <c r="A120" t="s">
        <v>1050</v>
      </c>
      <c r="B120" t="s">
        <v>1051</v>
      </c>
    </row>
    <row r="121" spans="1:2" x14ac:dyDescent="0.2">
      <c r="A121" t="s">
        <v>1052</v>
      </c>
      <c r="B121" t="s">
        <v>1053</v>
      </c>
    </row>
    <row r="122" spans="1:2" x14ac:dyDescent="0.2">
      <c r="A122" t="s">
        <v>1054</v>
      </c>
      <c r="B122" t="s">
        <v>1055</v>
      </c>
    </row>
    <row r="123" spans="1:2" x14ac:dyDescent="0.2">
      <c r="A123" t="s">
        <v>1056</v>
      </c>
      <c r="B123" t="s">
        <v>1057</v>
      </c>
    </row>
    <row r="124" spans="1:2" x14ac:dyDescent="0.2">
      <c r="A124" t="s">
        <v>1058</v>
      </c>
      <c r="B124" t="s">
        <v>1059</v>
      </c>
    </row>
    <row r="125" spans="1:2" x14ac:dyDescent="0.2">
      <c r="A125" t="s">
        <v>1060</v>
      </c>
      <c r="B125" t="s">
        <v>1061</v>
      </c>
    </row>
    <row r="126" spans="1:2" x14ac:dyDescent="0.2">
      <c r="A126" t="s">
        <v>1062</v>
      </c>
      <c r="B126" t="s">
        <v>1063</v>
      </c>
    </row>
    <row r="127" spans="1:2" x14ac:dyDescent="0.2">
      <c r="A127" t="s">
        <v>1064</v>
      </c>
      <c r="B127" t="s">
        <v>1065</v>
      </c>
    </row>
    <row r="128" spans="1:2" x14ac:dyDescent="0.2">
      <c r="A128" t="s">
        <v>1066</v>
      </c>
      <c r="B128" t="s">
        <v>1067</v>
      </c>
    </row>
    <row r="129" spans="1:2" x14ac:dyDescent="0.2">
      <c r="A129" t="s">
        <v>1068</v>
      </c>
      <c r="B129" t="s">
        <v>1069</v>
      </c>
    </row>
    <row r="130" spans="1:2" x14ac:dyDescent="0.2">
      <c r="A130" t="s">
        <v>1070</v>
      </c>
      <c r="B130" t="s">
        <v>1071</v>
      </c>
    </row>
    <row r="131" spans="1:2" x14ac:dyDescent="0.2">
      <c r="A131" t="s">
        <v>1072</v>
      </c>
      <c r="B131" t="s">
        <v>1073</v>
      </c>
    </row>
    <row r="132" spans="1:2" x14ac:dyDescent="0.2">
      <c r="A132" t="s">
        <v>1074</v>
      </c>
      <c r="B132" t="s">
        <v>1075</v>
      </c>
    </row>
    <row r="133" spans="1:2" x14ac:dyDescent="0.2">
      <c r="A133" t="s">
        <v>1076</v>
      </c>
      <c r="B133" t="s">
        <v>1077</v>
      </c>
    </row>
    <row r="134" spans="1:2" x14ac:dyDescent="0.2">
      <c r="A134" t="s">
        <v>1078</v>
      </c>
      <c r="B134" t="s">
        <v>1079</v>
      </c>
    </row>
    <row r="135" spans="1:2" x14ac:dyDescent="0.2">
      <c r="A135" t="s">
        <v>1080</v>
      </c>
      <c r="B135" t="s">
        <v>1081</v>
      </c>
    </row>
    <row r="136" spans="1:2" x14ac:dyDescent="0.2">
      <c r="A136" t="s">
        <v>1082</v>
      </c>
      <c r="B136" t="s">
        <v>1083</v>
      </c>
    </row>
    <row r="137" spans="1:2" x14ac:dyDescent="0.2">
      <c r="A137" t="s">
        <v>1084</v>
      </c>
      <c r="B137" t="s">
        <v>1085</v>
      </c>
    </row>
    <row r="138" spans="1:2" x14ac:dyDescent="0.2">
      <c r="A138" t="s">
        <v>1086</v>
      </c>
      <c r="B138" t="s">
        <v>1087</v>
      </c>
    </row>
    <row r="139" spans="1:2" x14ac:dyDescent="0.2">
      <c r="A139" t="s">
        <v>1088</v>
      </c>
      <c r="B139" t="s">
        <v>1089</v>
      </c>
    </row>
    <row r="140" spans="1:2" x14ac:dyDescent="0.2">
      <c r="A140" t="s">
        <v>1090</v>
      </c>
      <c r="B140" t="s">
        <v>1091</v>
      </c>
    </row>
    <row r="141" spans="1:2" x14ac:dyDescent="0.2">
      <c r="A141" t="s">
        <v>1092</v>
      </c>
      <c r="B141" t="s">
        <v>1093</v>
      </c>
    </row>
    <row r="142" spans="1:2" x14ac:dyDescent="0.2">
      <c r="A142" t="s">
        <v>1094</v>
      </c>
      <c r="B142" t="s">
        <v>1095</v>
      </c>
    </row>
    <row r="143" spans="1:2" x14ac:dyDescent="0.2">
      <c r="A143" t="s">
        <v>1096</v>
      </c>
      <c r="B143" t="s">
        <v>1097</v>
      </c>
    </row>
    <row r="144" spans="1:2" x14ac:dyDescent="0.2">
      <c r="A144" t="s">
        <v>1098</v>
      </c>
      <c r="B144" t="s">
        <v>1099</v>
      </c>
    </row>
    <row r="145" spans="1:2" x14ac:dyDescent="0.2">
      <c r="A145" t="s">
        <v>1100</v>
      </c>
      <c r="B145" t="s">
        <v>1101</v>
      </c>
    </row>
    <row r="146" spans="1:2" x14ac:dyDescent="0.2">
      <c r="A146" t="s">
        <v>1102</v>
      </c>
      <c r="B146" t="s">
        <v>1103</v>
      </c>
    </row>
    <row r="147" spans="1:2" x14ac:dyDescent="0.2">
      <c r="A147" t="s">
        <v>1104</v>
      </c>
      <c r="B147" t="s">
        <v>1105</v>
      </c>
    </row>
    <row r="148" spans="1:2" x14ac:dyDescent="0.2">
      <c r="A148" t="s">
        <v>1106</v>
      </c>
      <c r="B148" t="s">
        <v>1107</v>
      </c>
    </row>
    <row r="149" spans="1:2" x14ac:dyDescent="0.2">
      <c r="A149" t="s">
        <v>1108</v>
      </c>
      <c r="B149" t="s">
        <v>1109</v>
      </c>
    </row>
    <row r="150" spans="1:2" x14ac:dyDescent="0.2">
      <c r="A150" t="s">
        <v>1110</v>
      </c>
      <c r="B150" t="s">
        <v>1111</v>
      </c>
    </row>
    <row r="151" spans="1:2" x14ac:dyDescent="0.2">
      <c r="A151" t="s">
        <v>1112</v>
      </c>
      <c r="B151" t="s">
        <v>1113</v>
      </c>
    </row>
    <row r="152" spans="1:2" x14ac:dyDescent="0.2">
      <c r="A152" t="s">
        <v>1114</v>
      </c>
      <c r="B152" t="s">
        <v>1115</v>
      </c>
    </row>
    <row r="153" spans="1:2" x14ac:dyDescent="0.2">
      <c r="A153" t="s">
        <v>1116</v>
      </c>
      <c r="B153" t="s">
        <v>1117</v>
      </c>
    </row>
    <row r="154" spans="1:2" x14ac:dyDescent="0.2">
      <c r="A154" t="s">
        <v>1118</v>
      </c>
      <c r="B154" t="s">
        <v>1119</v>
      </c>
    </row>
    <row r="155" spans="1:2" x14ac:dyDescent="0.2">
      <c r="A155" t="s">
        <v>1120</v>
      </c>
      <c r="B155" t="s">
        <v>1121</v>
      </c>
    </row>
    <row r="156" spans="1:2" x14ac:dyDescent="0.2">
      <c r="A156" t="s">
        <v>1122</v>
      </c>
      <c r="B156" t="s">
        <v>1123</v>
      </c>
    </row>
    <row r="157" spans="1:2" x14ac:dyDescent="0.2">
      <c r="A157" t="s">
        <v>1124</v>
      </c>
      <c r="B157" t="s">
        <v>1125</v>
      </c>
    </row>
    <row r="158" spans="1:2" x14ac:dyDescent="0.2">
      <c r="A158" t="s">
        <v>1126</v>
      </c>
      <c r="B158" t="s">
        <v>1127</v>
      </c>
    </row>
    <row r="159" spans="1:2" x14ac:dyDescent="0.2">
      <c r="A159" t="s">
        <v>1128</v>
      </c>
      <c r="B159" t="s">
        <v>1129</v>
      </c>
    </row>
    <row r="160" spans="1:2" x14ac:dyDescent="0.2">
      <c r="A160" t="s">
        <v>1130</v>
      </c>
      <c r="B160" t="s">
        <v>1131</v>
      </c>
    </row>
    <row r="161" spans="1:2" x14ac:dyDescent="0.2">
      <c r="A161" t="s">
        <v>1132</v>
      </c>
      <c r="B161" t="s">
        <v>1133</v>
      </c>
    </row>
    <row r="162" spans="1:2" x14ac:dyDescent="0.2">
      <c r="A162" t="s">
        <v>1134</v>
      </c>
      <c r="B162" t="s">
        <v>1135</v>
      </c>
    </row>
    <row r="163" spans="1:2" x14ac:dyDescent="0.2">
      <c r="A163" t="s">
        <v>1136</v>
      </c>
      <c r="B163" t="s">
        <v>1137</v>
      </c>
    </row>
    <row r="164" spans="1:2" x14ac:dyDescent="0.2">
      <c r="A164" t="s">
        <v>1138</v>
      </c>
      <c r="B164" t="s">
        <v>1139</v>
      </c>
    </row>
    <row r="165" spans="1:2" x14ac:dyDescent="0.2">
      <c r="A165" t="s">
        <v>1140</v>
      </c>
      <c r="B165" t="s">
        <v>1141</v>
      </c>
    </row>
    <row r="166" spans="1:2" x14ac:dyDescent="0.2">
      <c r="A166" t="s">
        <v>1142</v>
      </c>
      <c r="B166" t="s">
        <v>1143</v>
      </c>
    </row>
    <row r="167" spans="1:2" x14ac:dyDescent="0.2">
      <c r="A167" t="s">
        <v>1144</v>
      </c>
      <c r="B167" t="s">
        <v>1145</v>
      </c>
    </row>
    <row r="168" spans="1:2" x14ac:dyDescent="0.2">
      <c r="A168" t="s">
        <v>1146</v>
      </c>
      <c r="B168" t="s">
        <v>1147</v>
      </c>
    </row>
    <row r="169" spans="1:2" x14ac:dyDescent="0.2">
      <c r="A169" t="s">
        <v>1148</v>
      </c>
      <c r="B169" t="s">
        <v>1149</v>
      </c>
    </row>
    <row r="170" spans="1:2" x14ac:dyDescent="0.2">
      <c r="A170" t="s">
        <v>1150</v>
      </c>
      <c r="B170" t="s">
        <v>1151</v>
      </c>
    </row>
    <row r="171" spans="1:2" x14ac:dyDescent="0.2">
      <c r="A171" t="s">
        <v>1152</v>
      </c>
      <c r="B171" t="s">
        <v>1153</v>
      </c>
    </row>
    <row r="172" spans="1:2" x14ac:dyDescent="0.2">
      <c r="A172" t="s">
        <v>1154</v>
      </c>
      <c r="B172" t="s">
        <v>1155</v>
      </c>
    </row>
    <row r="173" spans="1:2" x14ac:dyDescent="0.2">
      <c r="A173" t="s">
        <v>1156</v>
      </c>
      <c r="B173" t="s">
        <v>1157</v>
      </c>
    </row>
    <row r="174" spans="1:2" x14ac:dyDescent="0.2">
      <c r="A174" t="s">
        <v>1158</v>
      </c>
      <c r="B174" t="s">
        <v>1159</v>
      </c>
    </row>
    <row r="175" spans="1:2" x14ac:dyDescent="0.2">
      <c r="A175" t="s">
        <v>1160</v>
      </c>
      <c r="B175" t="s">
        <v>1161</v>
      </c>
    </row>
    <row r="176" spans="1:2" x14ac:dyDescent="0.2">
      <c r="A176" t="s">
        <v>1162</v>
      </c>
      <c r="B176" t="s">
        <v>1163</v>
      </c>
    </row>
    <row r="177" spans="1:2" x14ac:dyDescent="0.2">
      <c r="A177" t="s">
        <v>1164</v>
      </c>
      <c r="B177" t="s">
        <v>1165</v>
      </c>
    </row>
    <row r="178" spans="1:2" x14ac:dyDescent="0.2">
      <c r="A178" t="s">
        <v>1166</v>
      </c>
      <c r="B178" t="s">
        <v>1167</v>
      </c>
    </row>
    <row r="179" spans="1:2" x14ac:dyDescent="0.2">
      <c r="A179" t="s">
        <v>1168</v>
      </c>
      <c r="B179" t="s">
        <v>1169</v>
      </c>
    </row>
    <row r="180" spans="1:2" x14ac:dyDescent="0.2">
      <c r="A180" t="s">
        <v>1168</v>
      </c>
      <c r="B180" t="s">
        <v>1170</v>
      </c>
    </row>
    <row r="181" spans="1:2" x14ac:dyDescent="0.2">
      <c r="A181" t="s">
        <v>1168</v>
      </c>
      <c r="B181" t="s">
        <v>1171</v>
      </c>
    </row>
    <row r="182" spans="1:2" x14ac:dyDescent="0.2">
      <c r="A182" t="s">
        <v>1172</v>
      </c>
      <c r="B182" t="s">
        <v>1173</v>
      </c>
    </row>
    <row r="183" spans="1:2" x14ac:dyDescent="0.2">
      <c r="A183" t="s">
        <v>1174</v>
      </c>
      <c r="B183" t="s">
        <v>1175</v>
      </c>
    </row>
    <row r="184" spans="1:2" x14ac:dyDescent="0.2">
      <c r="A184" t="s">
        <v>1176</v>
      </c>
      <c r="B184" t="s">
        <v>1177</v>
      </c>
    </row>
    <row r="185" spans="1:2" x14ac:dyDescent="0.2">
      <c r="A185" t="s">
        <v>1178</v>
      </c>
      <c r="B185" t="s">
        <v>1179</v>
      </c>
    </row>
    <row r="186" spans="1:2" x14ac:dyDescent="0.2">
      <c r="A186" t="s">
        <v>1180</v>
      </c>
      <c r="B186" t="s">
        <v>1181</v>
      </c>
    </row>
    <row r="187" spans="1:2" x14ac:dyDescent="0.2">
      <c r="A187" t="s">
        <v>1182</v>
      </c>
      <c r="B187" t="s">
        <v>1183</v>
      </c>
    </row>
    <row r="188" spans="1:2" x14ac:dyDescent="0.2">
      <c r="A188" t="s">
        <v>1184</v>
      </c>
      <c r="B188" t="s">
        <v>1185</v>
      </c>
    </row>
    <row r="189" spans="1:2" x14ac:dyDescent="0.2">
      <c r="A189" t="s">
        <v>1186</v>
      </c>
      <c r="B189" t="s">
        <v>1187</v>
      </c>
    </row>
    <row r="190" spans="1:2" x14ac:dyDescent="0.2">
      <c r="A190" t="s">
        <v>1188</v>
      </c>
      <c r="B190" t="s">
        <v>1189</v>
      </c>
    </row>
    <row r="191" spans="1:2" x14ac:dyDescent="0.2">
      <c r="A191" t="s">
        <v>1190</v>
      </c>
      <c r="B191" t="s">
        <v>1191</v>
      </c>
    </row>
    <row r="192" spans="1:2" x14ac:dyDescent="0.2">
      <c r="A192" t="s">
        <v>1192</v>
      </c>
      <c r="B192" t="s">
        <v>1193</v>
      </c>
    </row>
    <row r="193" spans="1:2" x14ac:dyDescent="0.2">
      <c r="A193" t="s">
        <v>1194</v>
      </c>
      <c r="B193" t="s">
        <v>1195</v>
      </c>
    </row>
    <row r="194" spans="1:2" x14ac:dyDescent="0.2">
      <c r="A194" t="s">
        <v>1196</v>
      </c>
      <c r="B194" t="s">
        <v>1197</v>
      </c>
    </row>
    <row r="195" spans="1:2" x14ac:dyDescent="0.2">
      <c r="A195" t="s">
        <v>1198</v>
      </c>
      <c r="B195" t="s">
        <v>1199</v>
      </c>
    </row>
    <row r="196" spans="1:2" x14ac:dyDescent="0.2">
      <c r="A196" t="s">
        <v>1200</v>
      </c>
      <c r="B196" t="s">
        <v>1201</v>
      </c>
    </row>
    <row r="197" spans="1:2" x14ac:dyDescent="0.2">
      <c r="A197" t="s">
        <v>1202</v>
      </c>
      <c r="B197" t="s">
        <v>1203</v>
      </c>
    </row>
    <row r="198" spans="1:2" x14ac:dyDescent="0.2">
      <c r="A198" t="s">
        <v>1204</v>
      </c>
      <c r="B198" t="s">
        <v>1205</v>
      </c>
    </row>
    <row r="199" spans="1:2" x14ac:dyDescent="0.2">
      <c r="A199" t="s">
        <v>1206</v>
      </c>
      <c r="B199" t="s">
        <v>1207</v>
      </c>
    </row>
    <row r="200" spans="1:2" x14ac:dyDescent="0.2">
      <c r="A200" t="s">
        <v>1208</v>
      </c>
      <c r="B200" t="s">
        <v>1209</v>
      </c>
    </row>
    <row r="201" spans="1:2" x14ac:dyDescent="0.2">
      <c r="A201" t="s">
        <v>1210</v>
      </c>
      <c r="B201" t="s">
        <v>1211</v>
      </c>
    </row>
    <row r="202" spans="1:2" x14ac:dyDescent="0.2">
      <c r="A202" t="s">
        <v>1212</v>
      </c>
      <c r="B202" t="s">
        <v>1213</v>
      </c>
    </row>
    <row r="203" spans="1:2" x14ac:dyDescent="0.2">
      <c r="A203" t="s">
        <v>1214</v>
      </c>
      <c r="B203" t="s">
        <v>1215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225" workbookViewId="0">
      <selection sqref="A1:XFD1"/>
    </sheetView>
  </sheetViews>
  <sheetFormatPr baseColWidth="10" defaultColWidth="11.42578125" defaultRowHeight="15" x14ac:dyDescent="0.25"/>
  <cols>
    <col min="1" max="1" width="13.7109375" style="34" bestFit="1" customWidth="1"/>
    <col min="2" max="2" width="18.42578125" style="34" bestFit="1" customWidth="1"/>
    <col min="3" max="3" width="18.42578125" style="34" customWidth="1"/>
    <col min="4" max="4" width="7.7109375" style="34" bestFit="1" customWidth="1"/>
    <col min="5" max="5" width="11.42578125" style="34"/>
    <col min="6" max="6" width="14.85546875" style="34" bestFit="1" customWidth="1"/>
    <col min="7" max="7" width="43" style="34" bestFit="1" customWidth="1"/>
    <col min="8" max="8" width="47.7109375" style="34" bestFit="1" customWidth="1"/>
    <col min="9" max="16384" width="11.42578125" style="34"/>
  </cols>
  <sheetData>
    <row r="1" spans="1:8" x14ac:dyDescent="0.25">
      <c r="A1" s="31" t="s">
        <v>688</v>
      </c>
      <c r="B1" s="31" t="s">
        <v>284</v>
      </c>
      <c r="C1" s="31" t="s">
        <v>687</v>
      </c>
      <c r="D1" s="31" t="s">
        <v>4</v>
      </c>
      <c r="E1" s="31"/>
      <c r="F1" s="31"/>
      <c r="G1" s="31" t="s">
        <v>285</v>
      </c>
      <c r="H1" s="34" t="s">
        <v>686</v>
      </c>
    </row>
    <row r="2" spans="1:8" ht="15" customHeight="1" x14ac:dyDescent="0.25">
      <c r="A2" s="30">
        <v>0</v>
      </c>
      <c r="B2" s="32" t="s">
        <v>690</v>
      </c>
      <c r="C2" s="36" t="s">
        <v>358</v>
      </c>
      <c r="D2" s="31" t="s">
        <v>286</v>
      </c>
      <c r="E2" s="31" t="s">
        <v>287</v>
      </c>
      <c r="F2" s="31" t="s">
        <v>288</v>
      </c>
      <c r="G2" s="31" t="s">
        <v>289</v>
      </c>
      <c r="H2" s="34" t="str">
        <f>IF(G2="","",CONCATENATE(D2&amp;" - ",G2))</f>
        <v>P01 - MONOS LIVIANOS</v>
      </c>
    </row>
    <row r="3" spans="1:8" x14ac:dyDescent="0.25">
      <c r="A3" s="30" t="s">
        <v>12</v>
      </c>
      <c r="B3" s="32" t="s">
        <v>690</v>
      </c>
      <c r="C3" s="36" t="s">
        <v>358</v>
      </c>
      <c r="D3" s="31" t="s">
        <v>290</v>
      </c>
      <c r="E3" s="31" t="s">
        <v>287</v>
      </c>
      <c r="F3" s="31" t="s">
        <v>288</v>
      </c>
      <c r="G3" s="31" t="s">
        <v>291</v>
      </c>
      <c r="H3" s="34" t="str">
        <f t="shared" ref="H3:H66" si="0">IF(G3="","",CONCATENATE(D3&amp;" - ",G3))</f>
        <v>P05 - MONOS ABRIGO</v>
      </c>
    </row>
    <row r="4" spans="1:8" x14ac:dyDescent="0.25">
      <c r="A4" s="36" t="s">
        <v>609</v>
      </c>
      <c r="B4" s="32" t="s">
        <v>690</v>
      </c>
      <c r="C4" s="36" t="s">
        <v>358</v>
      </c>
      <c r="D4" s="31" t="s">
        <v>292</v>
      </c>
      <c r="E4" s="31" t="s">
        <v>293</v>
      </c>
      <c r="F4" s="31" t="s">
        <v>288</v>
      </c>
      <c r="G4" s="31" t="s">
        <v>294</v>
      </c>
      <c r="H4" s="34" t="str">
        <f t="shared" si="0"/>
        <v>P10 - PAÑALEROS</v>
      </c>
    </row>
    <row r="5" spans="1:8" x14ac:dyDescent="0.25">
      <c r="A5" s="30"/>
      <c r="B5" s="32" t="s">
        <v>690</v>
      </c>
      <c r="C5" s="36" t="s">
        <v>358</v>
      </c>
      <c r="D5" s="31" t="s">
        <v>295</v>
      </c>
      <c r="E5" s="31" t="s">
        <v>296</v>
      </c>
      <c r="F5" s="31" t="s">
        <v>288</v>
      </c>
      <c r="G5" s="31" t="s">
        <v>297</v>
      </c>
      <c r="H5" s="34" t="str">
        <f t="shared" si="0"/>
        <v>P11 - REMERAS</v>
      </c>
    </row>
    <row r="6" spans="1:8" x14ac:dyDescent="0.25">
      <c r="A6" s="30"/>
      <c r="B6" s="32" t="s">
        <v>690</v>
      </c>
      <c r="C6" s="36" t="s">
        <v>358</v>
      </c>
      <c r="D6" s="31" t="s">
        <v>298</v>
      </c>
      <c r="E6" s="31" t="s">
        <v>299</v>
      </c>
      <c r="F6" s="31" t="s">
        <v>300</v>
      </c>
      <c r="G6" s="31" t="s">
        <v>301</v>
      </c>
      <c r="H6" s="34" t="str">
        <f t="shared" si="0"/>
        <v>P12 - CAMISAS Y CHOMBAS</v>
      </c>
    </row>
    <row r="7" spans="1:8" x14ac:dyDescent="0.25">
      <c r="A7" s="30"/>
      <c r="B7" s="32" t="s">
        <v>690</v>
      </c>
      <c r="C7" s="36" t="s">
        <v>358</v>
      </c>
      <c r="D7" s="31" t="s">
        <v>302</v>
      </c>
      <c r="E7" s="31" t="s">
        <v>299</v>
      </c>
      <c r="F7" s="31" t="s">
        <v>300</v>
      </c>
      <c r="G7" s="31" t="s">
        <v>303</v>
      </c>
      <c r="H7" s="34" t="str">
        <f t="shared" si="0"/>
        <v>P13 - PAÑALEROS CAMISA Y CHOMBA</v>
      </c>
    </row>
    <row r="8" spans="1:8" x14ac:dyDescent="0.25">
      <c r="A8" s="30"/>
      <c r="B8" s="32" t="s">
        <v>690</v>
      </c>
      <c r="C8" s="36" t="s">
        <v>358</v>
      </c>
      <c r="D8" s="31" t="s">
        <v>304</v>
      </c>
      <c r="E8" s="31" t="s">
        <v>305</v>
      </c>
      <c r="F8" s="31" t="s">
        <v>288</v>
      </c>
      <c r="G8" s="31" t="s">
        <v>306</v>
      </c>
      <c r="H8" s="34" t="str">
        <f t="shared" si="0"/>
        <v>P15 - CONJUNTO PANTALON Y CANGURO/ SAQUITO</v>
      </c>
    </row>
    <row r="9" spans="1:8" x14ac:dyDescent="0.25">
      <c r="A9" s="30"/>
      <c r="B9" s="32" t="s">
        <v>690</v>
      </c>
      <c r="C9" s="36" t="s">
        <v>358</v>
      </c>
      <c r="D9" s="31" t="s">
        <v>307</v>
      </c>
      <c r="E9" s="31" t="s">
        <v>224</v>
      </c>
      <c r="F9" s="31" t="s">
        <v>288</v>
      </c>
      <c r="G9" s="31" t="s">
        <v>308</v>
      </c>
      <c r="H9" s="34" t="str">
        <f t="shared" si="0"/>
        <v>P20 - CONJUNTO BATITA Y RANITA</v>
      </c>
    </row>
    <row r="10" spans="1:8" x14ac:dyDescent="0.25">
      <c r="A10" s="30"/>
      <c r="B10" s="32" t="s">
        <v>690</v>
      </c>
      <c r="C10" s="36" t="s">
        <v>358</v>
      </c>
      <c r="D10" s="31" t="s">
        <v>309</v>
      </c>
      <c r="E10" s="31" t="s">
        <v>224</v>
      </c>
      <c r="F10" s="31" t="s">
        <v>288</v>
      </c>
      <c r="G10" s="31" t="s">
        <v>310</v>
      </c>
      <c r="H10" s="34" t="str">
        <f t="shared" si="0"/>
        <v>P21 - AJUAR, VARIAS PRENDAS</v>
      </c>
    </row>
    <row r="11" spans="1:8" x14ac:dyDescent="0.25">
      <c r="A11" s="30"/>
      <c r="B11" s="32" t="s">
        <v>690</v>
      </c>
      <c r="C11" s="36" t="s">
        <v>358</v>
      </c>
      <c r="D11" s="31" t="s">
        <v>311</v>
      </c>
      <c r="E11" s="31" t="s">
        <v>312</v>
      </c>
      <c r="F11" s="31" t="s">
        <v>288</v>
      </c>
      <c r="G11" s="31" t="s">
        <v>313</v>
      </c>
      <c r="H11" s="34" t="str">
        <f t="shared" si="0"/>
        <v>P25 - BERMUDAS Y SHORTS PUNTO</v>
      </c>
    </row>
    <row r="12" spans="1:8" x14ac:dyDescent="0.25">
      <c r="A12" s="30"/>
      <c r="B12" s="32" t="s">
        <v>690</v>
      </c>
      <c r="C12" s="36" t="s">
        <v>358</v>
      </c>
      <c r="D12" s="31" t="s">
        <v>314</v>
      </c>
      <c r="E12" s="31" t="s">
        <v>312</v>
      </c>
      <c r="F12" s="31" t="s">
        <v>315</v>
      </c>
      <c r="G12" s="31" t="s">
        <v>316</v>
      </c>
      <c r="H12" s="34" t="str">
        <f t="shared" si="0"/>
        <v>P31 - BERMUDAS Y SHORTS PLANO</v>
      </c>
    </row>
    <row r="13" spans="1:8" x14ac:dyDescent="0.25">
      <c r="A13" s="30"/>
      <c r="B13" s="32" t="s">
        <v>690</v>
      </c>
      <c r="C13" s="36" t="s">
        <v>358</v>
      </c>
      <c r="D13" s="31" t="s">
        <v>317</v>
      </c>
      <c r="E13" s="31" t="s">
        <v>312</v>
      </c>
      <c r="F13" s="31" t="s">
        <v>315</v>
      </c>
      <c r="G13" s="31" t="s">
        <v>318</v>
      </c>
      <c r="H13" s="34" t="str">
        <f t="shared" si="0"/>
        <v>P27 - BERMUDAS Y SHORTS DENIM</v>
      </c>
    </row>
    <row r="14" spans="1:8" x14ac:dyDescent="0.25">
      <c r="A14" s="30"/>
      <c r="B14" s="32" t="s">
        <v>690</v>
      </c>
      <c r="C14" s="36" t="s">
        <v>358</v>
      </c>
      <c r="D14" s="31" t="s">
        <v>319</v>
      </c>
      <c r="E14" s="31" t="s">
        <v>320</v>
      </c>
      <c r="F14" s="31" t="s">
        <v>315</v>
      </c>
      <c r="G14" s="31" t="s">
        <v>321</v>
      </c>
      <c r="H14" s="34" t="str">
        <f t="shared" si="0"/>
        <v>P29 - PANTALON RANITA PLANO</v>
      </c>
    </row>
    <row r="15" spans="1:8" x14ac:dyDescent="0.25">
      <c r="A15" s="30"/>
      <c r="B15" s="32" t="s">
        <v>690</v>
      </c>
      <c r="C15" s="36" t="s">
        <v>358</v>
      </c>
      <c r="D15" s="31" t="s">
        <v>322</v>
      </c>
      <c r="E15" s="31" t="s">
        <v>320</v>
      </c>
      <c r="F15" s="31" t="s">
        <v>288</v>
      </c>
      <c r="G15" s="31" t="s">
        <v>323</v>
      </c>
      <c r="H15" s="34" t="str">
        <f t="shared" si="0"/>
        <v>P30 - PANTALON RANITA PUNTO</v>
      </c>
    </row>
    <row r="16" spans="1:8" x14ac:dyDescent="0.25">
      <c r="A16" s="30"/>
      <c r="B16" s="32" t="s">
        <v>690</v>
      </c>
      <c r="C16" s="36" t="s">
        <v>358</v>
      </c>
      <c r="D16" s="31" t="s">
        <v>324</v>
      </c>
      <c r="E16" s="31" t="s">
        <v>320</v>
      </c>
      <c r="F16" s="31" t="s">
        <v>315</v>
      </c>
      <c r="G16" s="31" t="s">
        <v>325</v>
      </c>
      <c r="H16" s="34" t="str">
        <f t="shared" si="0"/>
        <v>P32 - PANTALON RANITADENIM</v>
      </c>
    </row>
    <row r="17" spans="1:8" x14ac:dyDescent="0.25">
      <c r="A17" s="30"/>
      <c r="B17" s="32" t="s">
        <v>690</v>
      </c>
      <c r="C17" s="36" t="s">
        <v>358</v>
      </c>
      <c r="D17" s="31" t="s">
        <v>326</v>
      </c>
      <c r="E17" s="31" t="s">
        <v>327</v>
      </c>
      <c r="F17" s="31" t="s">
        <v>288</v>
      </c>
      <c r="G17" s="31" t="s">
        <v>328</v>
      </c>
      <c r="H17" s="34" t="str">
        <f t="shared" si="0"/>
        <v>P33 - CALCITAS</v>
      </c>
    </row>
    <row r="18" spans="1:8" x14ac:dyDescent="0.25">
      <c r="A18" s="30"/>
      <c r="B18" s="32" t="s">
        <v>690</v>
      </c>
      <c r="C18" s="36" t="s">
        <v>358</v>
      </c>
      <c r="D18" s="31" t="s">
        <v>329</v>
      </c>
      <c r="E18" s="31" t="s">
        <v>330</v>
      </c>
      <c r="F18" s="31" t="s">
        <v>315</v>
      </c>
      <c r="G18" s="31" t="s">
        <v>331</v>
      </c>
      <c r="H18" s="34" t="str">
        <f t="shared" si="0"/>
        <v>P35 - VESTIDOS PLANO</v>
      </c>
    </row>
    <row r="19" spans="1:8" x14ac:dyDescent="0.25">
      <c r="A19" s="30"/>
      <c r="B19" s="32" t="s">
        <v>690</v>
      </c>
      <c r="C19" s="36" t="s">
        <v>358</v>
      </c>
      <c r="D19" s="31" t="s">
        <v>332</v>
      </c>
      <c r="E19" s="31" t="s">
        <v>330</v>
      </c>
      <c r="F19" s="31" t="s">
        <v>288</v>
      </c>
      <c r="G19" s="31" t="s">
        <v>333</v>
      </c>
      <c r="H19" s="34" t="str">
        <f t="shared" si="0"/>
        <v>P36 - VESTIDOS PUNTO</v>
      </c>
    </row>
    <row r="20" spans="1:8" x14ac:dyDescent="0.25">
      <c r="A20" s="30"/>
      <c r="B20" s="32" t="s">
        <v>690</v>
      </c>
      <c r="C20" s="36" t="s">
        <v>358</v>
      </c>
      <c r="D20" s="31" t="s">
        <v>334</v>
      </c>
      <c r="E20" s="31" t="s">
        <v>335</v>
      </c>
      <c r="F20" s="31" t="s">
        <v>336</v>
      </c>
      <c r="G20" s="31" t="s">
        <v>337</v>
      </c>
      <c r="H20" s="34" t="str">
        <f t="shared" si="0"/>
        <v>P37 - POLLERITAS, BOMPACHONES</v>
      </c>
    </row>
    <row r="21" spans="1:8" x14ac:dyDescent="0.25">
      <c r="A21" s="30"/>
      <c r="B21" s="32" t="s">
        <v>690</v>
      </c>
      <c r="C21" s="36" t="s">
        <v>358</v>
      </c>
      <c r="D21" s="31" t="s">
        <v>338</v>
      </c>
      <c r="E21" s="31" t="s">
        <v>339</v>
      </c>
      <c r="F21" s="31" t="s">
        <v>288</v>
      </c>
      <c r="G21" s="31" t="s">
        <v>340</v>
      </c>
      <c r="H21" s="34" t="str">
        <f t="shared" si="0"/>
        <v>P42 - BUZOS</v>
      </c>
    </row>
    <row r="22" spans="1:8" x14ac:dyDescent="0.25">
      <c r="A22" s="30"/>
      <c r="B22" s="32" t="s">
        <v>690</v>
      </c>
      <c r="C22" s="36" t="s">
        <v>358</v>
      </c>
      <c r="D22" s="31" t="s">
        <v>341</v>
      </c>
      <c r="E22" s="31" t="s">
        <v>339</v>
      </c>
      <c r="F22" s="31" t="s">
        <v>288</v>
      </c>
      <c r="G22" s="31" t="s">
        <v>342</v>
      </c>
      <c r="H22" s="34" t="str">
        <f t="shared" si="0"/>
        <v>P40 - SAQUITOS Y CANGUROS PUNTO</v>
      </c>
    </row>
    <row r="23" spans="1:8" x14ac:dyDescent="0.25">
      <c r="A23" s="30"/>
      <c r="B23" s="32" t="s">
        <v>690</v>
      </c>
      <c r="C23" s="36" t="s">
        <v>358</v>
      </c>
      <c r="D23" s="31" t="s">
        <v>343</v>
      </c>
      <c r="E23" s="31" t="s">
        <v>344</v>
      </c>
      <c r="F23" s="31" t="s">
        <v>345</v>
      </c>
      <c r="G23" s="31" t="s">
        <v>346</v>
      </c>
      <c r="H23" s="34" t="str">
        <f t="shared" si="0"/>
        <v>P51 - SAQUITOS TEJIDOS</v>
      </c>
    </row>
    <row r="24" spans="1:8" x14ac:dyDescent="0.25">
      <c r="A24" s="30"/>
      <c r="B24" s="32" t="s">
        <v>690</v>
      </c>
      <c r="C24" s="36" t="s">
        <v>358</v>
      </c>
      <c r="D24" s="31" t="s">
        <v>347</v>
      </c>
      <c r="E24" s="31" t="s">
        <v>348</v>
      </c>
      <c r="F24" s="31" t="s">
        <v>288</v>
      </c>
      <c r="G24" s="31" t="s">
        <v>349</v>
      </c>
      <c r="H24" s="34" t="str">
        <f t="shared" si="0"/>
        <v>P45 - JARDINEROS PUNTO</v>
      </c>
    </row>
    <row r="25" spans="1:8" x14ac:dyDescent="0.25">
      <c r="A25" s="30"/>
      <c r="B25" s="32" t="s">
        <v>690</v>
      </c>
      <c r="C25" s="36" t="s">
        <v>358</v>
      </c>
      <c r="D25" s="31" t="s">
        <v>350</v>
      </c>
      <c r="E25" s="31" t="s">
        <v>348</v>
      </c>
      <c r="F25" s="31" t="s">
        <v>315</v>
      </c>
      <c r="G25" s="31" t="s">
        <v>351</v>
      </c>
      <c r="H25" s="34" t="str">
        <f t="shared" si="0"/>
        <v>P46 - JARDINEROS PLANO</v>
      </c>
    </row>
    <row r="26" spans="1:8" x14ac:dyDescent="0.25">
      <c r="A26" s="30"/>
      <c r="B26" s="32" t="s">
        <v>690</v>
      </c>
      <c r="C26" s="36" t="s">
        <v>358</v>
      </c>
      <c r="D26" s="31" t="s">
        <v>352</v>
      </c>
      <c r="E26" s="31" t="s">
        <v>348</v>
      </c>
      <c r="F26" s="31" t="s">
        <v>315</v>
      </c>
      <c r="G26" s="31" t="s">
        <v>353</v>
      </c>
      <c r="H26" s="34" t="str">
        <f t="shared" si="0"/>
        <v>P47 - JARDINEROS DENIM</v>
      </c>
    </row>
    <row r="27" spans="1:8" x14ac:dyDescent="0.25">
      <c r="A27" s="30"/>
      <c r="B27" s="32" t="s">
        <v>690</v>
      </c>
      <c r="C27" s="36" t="s">
        <v>358</v>
      </c>
      <c r="D27" s="31" t="s">
        <v>354</v>
      </c>
      <c r="E27" s="31" t="s">
        <v>355</v>
      </c>
      <c r="F27" s="31" t="s">
        <v>315</v>
      </c>
      <c r="G27" s="31" t="s">
        <v>356</v>
      </c>
      <c r="H27" s="34" t="str">
        <f t="shared" si="0"/>
        <v>P50 - CAMPERAS ABRIGO GUATA</v>
      </c>
    </row>
    <row r="28" spans="1:8" x14ac:dyDescent="0.25">
      <c r="A28" s="30"/>
      <c r="B28" s="32" t="s">
        <v>690</v>
      </c>
      <c r="C28" s="36" t="s">
        <v>358</v>
      </c>
      <c r="D28" s="31" t="s">
        <v>357</v>
      </c>
      <c r="E28" s="31" t="s">
        <v>358</v>
      </c>
      <c r="F28" s="31" t="s">
        <v>315</v>
      </c>
      <c r="G28" s="31" t="s">
        <v>359</v>
      </c>
      <c r="H28" s="34" t="str">
        <f t="shared" si="0"/>
        <v>P52 - TAPADITO, CAMPERITA PLANO OTROS</v>
      </c>
    </row>
    <row r="29" spans="1:8" x14ac:dyDescent="0.25">
      <c r="A29" s="30"/>
      <c r="B29" s="32" t="s">
        <v>690</v>
      </c>
      <c r="C29" s="36" t="s">
        <v>358</v>
      </c>
      <c r="D29" s="31" t="s">
        <v>360</v>
      </c>
      <c r="E29" s="31" t="s">
        <v>361</v>
      </c>
      <c r="F29" s="31" t="s">
        <v>288</v>
      </c>
      <c r="G29" s="31" t="s">
        <v>362</v>
      </c>
      <c r="H29" s="34" t="str">
        <f t="shared" si="0"/>
        <v>P55 - BABEROS</v>
      </c>
    </row>
    <row r="30" spans="1:8" x14ac:dyDescent="0.25">
      <c r="A30" s="30"/>
      <c r="B30" s="32" t="s">
        <v>690</v>
      </c>
      <c r="C30" s="36" t="s">
        <v>358</v>
      </c>
      <c r="D30" s="31" t="s">
        <v>363</v>
      </c>
      <c r="E30" s="31" t="s">
        <v>361</v>
      </c>
      <c r="F30" s="31" t="s">
        <v>288</v>
      </c>
      <c r="G30" s="31" t="s">
        <v>364</v>
      </c>
      <c r="H30" s="34" t="str">
        <f t="shared" si="0"/>
        <v>P56 - BABITAS</v>
      </c>
    </row>
    <row r="31" spans="1:8" x14ac:dyDescent="0.25">
      <c r="A31" s="30"/>
      <c r="B31" s="32" t="s">
        <v>690</v>
      </c>
      <c r="C31" s="36" t="s">
        <v>358</v>
      </c>
      <c r="D31" s="31" t="s">
        <v>365</v>
      </c>
      <c r="E31" s="31" t="s">
        <v>366</v>
      </c>
      <c r="F31" s="31" t="s">
        <v>315</v>
      </c>
      <c r="G31" s="31" t="s">
        <v>367</v>
      </c>
      <c r="H31" s="34" t="str">
        <f t="shared" si="0"/>
        <v>P60 - TOALLONES</v>
      </c>
    </row>
    <row r="32" spans="1:8" x14ac:dyDescent="0.25">
      <c r="A32" s="30"/>
      <c r="B32" s="32" t="s">
        <v>690</v>
      </c>
      <c r="C32" s="36" t="s">
        <v>358</v>
      </c>
      <c r="D32" s="31" t="s">
        <v>368</v>
      </c>
      <c r="E32" s="31" t="s">
        <v>366</v>
      </c>
      <c r="F32" s="31" t="s">
        <v>315</v>
      </c>
      <c r="G32" s="31" t="s">
        <v>369</v>
      </c>
      <c r="H32" s="34" t="str">
        <f t="shared" si="0"/>
        <v>P61 - BATAS</v>
      </c>
    </row>
    <row r="33" spans="1:8" x14ac:dyDescent="0.25">
      <c r="A33" s="30"/>
      <c r="B33" s="32" t="s">
        <v>690</v>
      </c>
      <c r="C33" s="36" t="s">
        <v>358</v>
      </c>
      <c r="D33" s="31" t="s">
        <v>370</v>
      </c>
      <c r="E33" s="31" t="s">
        <v>371</v>
      </c>
      <c r="F33" s="31" t="s">
        <v>288</v>
      </c>
      <c r="G33" s="31" t="s">
        <v>372</v>
      </c>
      <c r="H33" s="34" t="str">
        <f t="shared" si="0"/>
        <v>P62 - MANTAS</v>
      </c>
    </row>
    <row r="34" spans="1:8" x14ac:dyDescent="0.25">
      <c r="A34" s="30"/>
      <c r="B34" s="32" t="s">
        <v>690</v>
      </c>
      <c r="C34" s="36" t="s">
        <v>358</v>
      </c>
      <c r="D34" s="31" t="s">
        <v>373</v>
      </c>
      <c r="E34" s="31" t="s">
        <v>374</v>
      </c>
      <c r="F34" s="31" t="s">
        <v>288</v>
      </c>
      <c r="G34" s="31" t="s">
        <v>375</v>
      </c>
      <c r="H34" s="34" t="str">
        <f t="shared" si="0"/>
        <v>P65 - TRAJES DE BAÑO LYCRA</v>
      </c>
    </row>
    <row r="35" spans="1:8" x14ac:dyDescent="0.25">
      <c r="A35" s="30"/>
      <c r="B35" s="32" t="s">
        <v>690</v>
      </c>
      <c r="C35" s="36" t="s">
        <v>358</v>
      </c>
      <c r="D35" s="31" t="s">
        <v>376</v>
      </c>
      <c r="E35" s="31" t="s">
        <v>374</v>
      </c>
      <c r="F35" s="31" t="s">
        <v>315</v>
      </c>
      <c r="G35" s="31" t="s">
        <v>377</v>
      </c>
      <c r="H35" s="34" t="str">
        <f t="shared" si="0"/>
        <v>P66 - TRAJES DE BAÑO PLANO</v>
      </c>
    </row>
    <row r="36" spans="1:8" x14ac:dyDescent="0.25">
      <c r="A36" s="30"/>
      <c r="B36" s="32" t="s">
        <v>690</v>
      </c>
      <c r="C36" s="36" t="s">
        <v>358</v>
      </c>
      <c r="D36" s="31" t="s">
        <v>378</v>
      </c>
      <c r="E36" s="31" t="s">
        <v>379</v>
      </c>
      <c r="F36" s="31" t="s">
        <v>288</v>
      </c>
      <c r="G36" s="31" t="s">
        <v>380</v>
      </c>
      <c r="H36" s="34" t="str">
        <f t="shared" si="0"/>
        <v>P90 - ACCESORIOS</v>
      </c>
    </row>
    <row r="37" spans="1:8" x14ac:dyDescent="0.25">
      <c r="A37" s="30"/>
      <c r="B37" s="30"/>
      <c r="C37" s="30"/>
      <c r="D37" s="31"/>
      <c r="E37" s="31"/>
      <c r="F37" s="31"/>
      <c r="G37" s="31"/>
      <c r="H37" s="34" t="str">
        <f t="shared" si="0"/>
        <v/>
      </c>
    </row>
    <row r="38" spans="1:8" x14ac:dyDescent="0.25">
      <c r="A38" s="30">
        <v>0</v>
      </c>
      <c r="B38" s="32" t="s">
        <v>691</v>
      </c>
      <c r="C38" s="36" t="s">
        <v>330</v>
      </c>
      <c r="D38" s="31" t="s">
        <v>381</v>
      </c>
      <c r="E38" s="31" t="s">
        <v>287</v>
      </c>
      <c r="F38" s="31" t="s">
        <v>288</v>
      </c>
      <c r="G38" s="31" t="s">
        <v>289</v>
      </c>
      <c r="H38" s="34" t="str">
        <f t="shared" si="0"/>
        <v>R01 - MONOS LIVIANOS</v>
      </c>
    </row>
    <row r="39" spans="1:8" x14ac:dyDescent="0.25">
      <c r="A39" s="30" t="s">
        <v>12</v>
      </c>
      <c r="B39" s="32" t="s">
        <v>691</v>
      </c>
      <c r="C39" s="36" t="s">
        <v>330</v>
      </c>
      <c r="D39" s="31" t="s">
        <v>382</v>
      </c>
      <c r="E39" s="31" t="s">
        <v>287</v>
      </c>
      <c r="F39" s="31" t="s">
        <v>288</v>
      </c>
      <c r="G39" s="31" t="s">
        <v>291</v>
      </c>
      <c r="H39" s="34" t="str">
        <f t="shared" si="0"/>
        <v>R05 - MONOS ABRIGO</v>
      </c>
    </row>
    <row r="40" spans="1:8" x14ac:dyDescent="0.25">
      <c r="A40" s="36" t="s">
        <v>609</v>
      </c>
      <c r="B40" s="32" t="s">
        <v>691</v>
      </c>
      <c r="C40" s="36" t="s">
        <v>330</v>
      </c>
      <c r="D40" s="31" t="s">
        <v>383</v>
      </c>
      <c r="E40" s="31" t="s">
        <v>293</v>
      </c>
      <c r="F40" s="31" t="s">
        <v>288</v>
      </c>
      <c r="G40" s="31" t="s">
        <v>294</v>
      </c>
      <c r="H40" s="34" t="str">
        <f t="shared" si="0"/>
        <v>R10 - PAÑALEROS</v>
      </c>
    </row>
    <row r="41" spans="1:8" x14ac:dyDescent="0.25">
      <c r="A41" s="30"/>
      <c r="B41" s="32" t="s">
        <v>691</v>
      </c>
      <c r="C41" s="36" t="s">
        <v>330</v>
      </c>
      <c r="D41" s="31" t="s">
        <v>384</v>
      </c>
      <c r="E41" s="31" t="s">
        <v>296</v>
      </c>
      <c r="F41" s="31" t="s">
        <v>288</v>
      </c>
      <c r="G41" s="31" t="s">
        <v>297</v>
      </c>
      <c r="H41" s="34" t="str">
        <f t="shared" si="0"/>
        <v>R11 - REMERAS</v>
      </c>
    </row>
    <row r="42" spans="1:8" x14ac:dyDescent="0.25">
      <c r="A42" s="30"/>
      <c r="B42" s="32" t="s">
        <v>691</v>
      </c>
      <c r="C42" s="36" t="s">
        <v>330</v>
      </c>
      <c r="D42" s="31" t="s">
        <v>385</v>
      </c>
      <c r="E42" s="31" t="s">
        <v>299</v>
      </c>
      <c r="F42" s="31" t="s">
        <v>300</v>
      </c>
      <c r="G42" s="31" t="s">
        <v>301</v>
      </c>
      <c r="H42" s="34" t="str">
        <f t="shared" si="0"/>
        <v>R12 - CAMISAS Y CHOMBAS</v>
      </c>
    </row>
    <row r="43" spans="1:8" x14ac:dyDescent="0.25">
      <c r="A43" s="30"/>
      <c r="B43" s="32" t="s">
        <v>691</v>
      </c>
      <c r="C43" s="36" t="s">
        <v>330</v>
      </c>
      <c r="D43" s="31" t="s">
        <v>386</v>
      </c>
      <c r="E43" s="31" t="s">
        <v>299</v>
      </c>
      <c r="F43" s="31" t="s">
        <v>300</v>
      </c>
      <c r="G43" s="31" t="s">
        <v>303</v>
      </c>
      <c r="H43" s="34" t="str">
        <f t="shared" si="0"/>
        <v>R13 - PAÑALEROS CAMISA Y CHOMBA</v>
      </c>
    </row>
    <row r="44" spans="1:8" x14ac:dyDescent="0.25">
      <c r="A44" s="30"/>
      <c r="B44" s="32" t="s">
        <v>691</v>
      </c>
      <c r="C44" s="36" t="s">
        <v>330</v>
      </c>
      <c r="D44" s="31" t="s">
        <v>387</v>
      </c>
      <c r="E44" s="31" t="s">
        <v>305</v>
      </c>
      <c r="F44" s="31" t="s">
        <v>288</v>
      </c>
      <c r="G44" s="31" t="s">
        <v>306</v>
      </c>
      <c r="H44" s="34" t="str">
        <f t="shared" si="0"/>
        <v>R15 - CONJUNTO PANTALON Y CANGURO/ SAQUITO</v>
      </c>
    </row>
    <row r="45" spans="1:8" x14ac:dyDescent="0.25">
      <c r="A45" s="30"/>
      <c r="B45" s="32" t="s">
        <v>691</v>
      </c>
      <c r="C45" s="36" t="s">
        <v>330</v>
      </c>
      <c r="D45" s="31" t="s">
        <v>388</v>
      </c>
      <c r="E45" s="31" t="s">
        <v>224</v>
      </c>
      <c r="F45" s="31" t="s">
        <v>288</v>
      </c>
      <c r="G45" s="31" t="s">
        <v>308</v>
      </c>
      <c r="H45" s="34" t="str">
        <f t="shared" si="0"/>
        <v>R20 - CONJUNTO BATITA Y RANITA</v>
      </c>
    </row>
    <row r="46" spans="1:8" x14ac:dyDescent="0.25">
      <c r="A46" s="30"/>
      <c r="B46" s="32" t="s">
        <v>691</v>
      </c>
      <c r="C46" s="36" t="s">
        <v>330</v>
      </c>
      <c r="D46" s="31" t="s">
        <v>389</v>
      </c>
      <c r="E46" s="31" t="s">
        <v>224</v>
      </c>
      <c r="F46" s="31" t="s">
        <v>288</v>
      </c>
      <c r="G46" s="31" t="s">
        <v>310</v>
      </c>
      <c r="H46" s="34" t="str">
        <f t="shared" si="0"/>
        <v>R21 - AJUAR, VARIAS PRENDAS</v>
      </c>
    </row>
    <row r="47" spans="1:8" x14ac:dyDescent="0.25">
      <c r="A47" s="30"/>
      <c r="B47" s="32" t="s">
        <v>691</v>
      </c>
      <c r="C47" s="36" t="s">
        <v>330</v>
      </c>
      <c r="D47" s="31" t="s">
        <v>390</v>
      </c>
      <c r="E47" s="31" t="s">
        <v>312</v>
      </c>
      <c r="F47" s="31" t="s">
        <v>288</v>
      </c>
      <c r="G47" s="31" t="s">
        <v>313</v>
      </c>
      <c r="H47" s="34" t="str">
        <f t="shared" si="0"/>
        <v>R25 - BERMUDAS Y SHORTS PUNTO</v>
      </c>
    </row>
    <row r="48" spans="1:8" x14ac:dyDescent="0.25">
      <c r="A48" s="30"/>
      <c r="B48" s="32" t="s">
        <v>691</v>
      </c>
      <c r="C48" s="36" t="s">
        <v>330</v>
      </c>
      <c r="D48" s="31" t="s">
        <v>391</v>
      </c>
      <c r="E48" s="31" t="s">
        <v>312</v>
      </c>
      <c r="F48" s="31" t="s">
        <v>315</v>
      </c>
      <c r="G48" s="31" t="s">
        <v>316</v>
      </c>
      <c r="H48" s="34" t="str">
        <f t="shared" si="0"/>
        <v>R31 - BERMUDAS Y SHORTS PLANO</v>
      </c>
    </row>
    <row r="49" spans="1:8" x14ac:dyDescent="0.25">
      <c r="A49" s="30"/>
      <c r="B49" s="32" t="s">
        <v>691</v>
      </c>
      <c r="C49" s="36" t="s">
        <v>330</v>
      </c>
      <c r="D49" s="31" t="s">
        <v>392</v>
      </c>
      <c r="E49" s="31" t="s">
        <v>312</v>
      </c>
      <c r="F49" s="31" t="s">
        <v>315</v>
      </c>
      <c r="G49" s="31" t="s">
        <v>318</v>
      </c>
      <c r="H49" s="34" t="str">
        <f t="shared" si="0"/>
        <v>R27 - BERMUDAS Y SHORTS DENIM</v>
      </c>
    </row>
    <row r="50" spans="1:8" x14ac:dyDescent="0.25">
      <c r="A50" s="30"/>
      <c r="B50" s="32" t="s">
        <v>691</v>
      </c>
      <c r="C50" s="36" t="s">
        <v>330</v>
      </c>
      <c r="D50" s="31" t="s">
        <v>393</v>
      </c>
      <c r="E50" s="31" t="s">
        <v>320</v>
      </c>
      <c r="F50" s="31" t="s">
        <v>315</v>
      </c>
      <c r="G50" s="31" t="s">
        <v>321</v>
      </c>
      <c r="H50" s="34" t="str">
        <f t="shared" si="0"/>
        <v>R29 - PANTALON RANITA PLANO</v>
      </c>
    </row>
    <row r="51" spans="1:8" x14ac:dyDescent="0.25">
      <c r="A51" s="30"/>
      <c r="B51" s="32" t="s">
        <v>691</v>
      </c>
      <c r="C51" s="36" t="s">
        <v>330</v>
      </c>
      <c r="D51" s="31" t="s">
        <v>394</v>
      </c>
      <c r="E51" s="31" t="s">
        <v>320</v>
      </c>
      <c r="F51" s="31" t="s">
        <v>288</v>
      </c>
      <c r="G51" s="31" t="s">
        <v>323</v>
      </c>
      <c r="H51" s="34" t="str">
        <f t="shared" si="0"/>
        <v>R30 - PANTALON RANITA PUNTO</v>
      </c>
    </row>
    <row r="52" spans="1:8" x14ac:dyDescent="0.25">
      <c r="A52" s="30"/>
      <c r="B52" s="32" t="s">
        <v>691</v>
      </c>
      <c r="C52" s="36" t="s">
        <v>330</v>
      </c>
      <c r="D52" s="31" t="s">
        <v>395</v>
      </c>
      <c r="E52" s="31" t="s">
        <v>320</v>
      </c>
      <c r="F52" s="31" t="s">
        <v>315</v>
      </c>
      <c r="G52" s="31" t="s">
        <v>325</v>
      </c>
      <c r="H52" s="34" t="str">
        <f t="shared" si="0"/>
        <v>R32 - PANTALON RANITADENIM</v>
      </c>
    </row>
    <row r="53" spans="1:8" x14ac:dyDescent="0.25">
      <c r="A53" s="30"/>
      <c r="B53" s="32" t="s">
        <v>691</v>
      </c>
      <c r="C53" s="36" t="s">
        <v>330</v>
      </c>
      <c r="D53" s="31" t="s">
        <v>396</v>
      </c>
      <c r="E53" s="31" t="s">
        <v>339</v>
      </c>
      <c r="F53" s="31" t="s">
        <v>288</v>
      </c>
      <c r="G53" s="31" t="s">
        <v>340</v>
      </c>
      <c r="H53" s="34" t="str">
        <f t="shared" si="0"/>
        <v>R42 - BUZOS</v>
      </c>
    </row>
    <row r="54" spans="1:8" x14ac:dyDescent="0.25">
      <c r="A54" s="30"/>
      <c r="B54" s="32" t="s">
        <v>691</v>
      </c>
      <c r="C54" s="36" t="s">
        <v>330</v>
      </c>
      <c r="D54" s="31" t="s">
        <v>397</v>
      </c>
      <c r="E54" s="31" t="s">
        <v>339</v>
      </c>
      <c r="F54" s="31" t="s">
        <v>288</v>
      </c>
      <c r="G54" s="31" t="s">
        <v>342</v>
      </c>
      <c r="H54" s="34" t="str">
        <f t="shared" si="0"/>
        <v>R40 - SAQUITOS Y CANGUROS PUNTO</v>
      </c>
    </row>
    <row r="55" spans="1:8" x14ac:dyDescent="0.25">
      <c r="A55" s="30"/>
      <c r="B55" s="32" t="s">
        <v>691</v>
      </c>
      <c r="C55" s="36" t="s">
        <v>330</v>
      </c>
      <c r="D55" s="31" t="s">
        <v>398</v>
      </c>
      <c r="E55" s="31" t="s">
        <v>344</v>
      </c>
      <c r="F55" s="31" t="s">
        <v>345</v>
      </c>
      <c r="G55" s="31" t="s">
        <v>346</v>
      </c>
      <c r="H55" s="34" t="str">
        <f t="shared" si="0"/>
        <v>R51 - SAQUITOS TEJIDOS</v>
      </c>
    </row>
    <row r="56" spans="1:8" x14ac:dyDescent="0.25">
      <c r="A56" s="30"/>
      <c r="B56" s="32" t="s">
        <v>691</v>
      </c>
      <c r="C56" s="36" t="s">
        <v>330</v>
      </c>
      <c r="D56" s="31" t="s">
        <v>399</v>
      </c>
      <c r="E56" s="31" t="s">
        <v>348</v>
      </c>
      <c r="F56" s="31" t="s">
        <v>288</v>
      </c>
      <c r="G56" s="31" t="s">
        <v>349</v>
      </c>
      <c r="H56" s="34" t="str">
        <f t="shared" si="0"/>
        <v>R45 - JARDINEROS PUNTO</v>
      </c>
    </row>
    <row r="57" spans="1:8" x14ac:dyDescent="0.25">
      <c r="A57" s="30"/>
      <c r="B57" s="32" t="s">
        <v>691</v>
      </c>
      <c r="C57" s="36" t="s">
        <v>330</v>
      </c>
      <c r="D57" s="31" t="s">
        <v>400</v>
      </c>
      <c r="E57" s="31" t="s">
        <v>348</v>
      </c>
      <c r="F57" s="31" t="s">
        <v>315</v>
      </c>
      <c r="G57" s="31" t="s">
        <v>351</v>
      </c>
      <c r="H57" s="34" t="str">
        <f t="shared" si="0"/>
        <v>R46 - JARDINEROS PLANO</v>
      </c>
    </row>
    <row r="58" spans="1:8" x14ac:dyDescent="0.25">
      <c r="A58" s="30"/>
      <c r="B58" s="32" t="s">
        <v>691</v>
      </c>
      <c r="C58" s="36" t="s">
        <v>330</v>
      </c>
      <c r="D58" s="31" t="s">
        <v>401</v>
      </c>
      <c r="E58" s="31" t="s">
        <v>348</v>
      </c>
      <c r="F58" s="31" t="s">
        <v>315</v>
      </c>
      <c r="G58" s="31" t="s">
        <v>353</v>
      </c>
      <c r="H58" s="34" t="str">
        <f t="shared" si="0"/>
        <v>R47 - JARDINEROS DENIM</v>
      </c>
    </row>
    <row r="59" spans="1:8" x14ac:dyDescent="0.25">
      <c r="A59" s="30"/>
      <c r="B59" s="32" t="s">
        <v>691</v>
      </c>
      <c r="C59" s="36" t="s">
        <v>330</v>
      </c>
      <c r="D59" s="31" t="s">
        <v>402</v>
      </c>
      <c r="E59" s="31" t="s">
        <v>355</v>
      </c>
      <c r="F59" s="31" t="s">
        <v>315</v>
      </c>
      <c r="G59" s="31" t="s">
        <v>356</v>
      </c>
      <c r="H59" s="34" t="str">
        <f t="shared" si="0"/>
        <v>R50 - CAMPERAS ABRIGO GUATA</v>
      </c>
    </row>
    <row r="60" spans="1:8" x14ac:dyDescent="0.25">
      <c r="A60" s="30"/>
      <c r="B60" s="32" t="s">
        <v>691</v>
      </c>
      <c r="C60" s="36" t="s">
        <v>330</v>
      </c>
      <c r="D60" s="31" t="s">
        <v>403</v>
      </c>
      <c r="E60" s="31" t="s">
        <v>358</v>
      </c>
      <c r="F60" s="31" t="s">
        <v>315</v>
      </c>
      <c r="G60" s="31" t="s">
        <v>359</v>
      </c>
      <c r="H60" s="34" t="str">
        <f t="shared" si="0"/>
        <v>R52 - TAPADITO, CAMPERITA PLANO OTROS</v>
      </c>
    </row>
    <row r="61" spans="1:8" x14ac:dyDescent="0.25">
      <c r="A61" s="30"/>
      <c r="B61" s="32" t="s">
        <v>691</v>
      </c>
      <c r="C61" s="36" t="s">
        <v>330</v>
      </c>
      <c r="D61" s="31" t="s">
        <v>404</v>
      </c>
      <c r="E61" s="31" t="s">
        <v>361</v>
      </c>
      <c r="F61" s="31" t="s">
        <v>288</v>
      </c>
      <c r="G61" s="31" t="s">
        <v>362</v>
      </c>
      <c r="H61" s="34" t="str">
        <f t="shared" si="0"/>
        <v>R55 - BABEROS</v>
      </c>
    </row>
    <row r="62" spans="1:8" x14ac:dyDescent="0.25">
      <c r="A62" s="30"/>
      <c r="B62" s="32" t="s">
        <v>691</v>
      </c>
      <c r="C62" s="36" t="s">
        <v>330</v>
      </c>
      <c r="D62" s="31" t="s">
        <v>405</v>
      </c>
      <c r="E62" s="31" t="s">
        <v>361</v>
      </c>
      <c r="F62" s="31" t="s">
        <v>288</v>
      </c>
      <c r="G62" s="31" t="s">
        <v>364</v>
      </c>
      <c r="H62" s="34" t="str">
        <f t="shared" si="0"/>
        <v>R56 - BABITAS</v>
      </c>
    </row>
    <row r="63" spans="1:8" x14ac:dyDescent="0.25">
      <c r="A63" s="30"/>
      <c r="B63" s="32" t="s">
        <v>691</v>
      </c>
      <c r="C63" s="36" t="s">
        <v>330</v>
      </c>
      <c r="D63" s="31" t="s">
        <v>406</v>
      </c>
      <c r="E63" s="31" t="s">
        <v>366</v>
      </c>
      <c r="F63" s="31" t="s">
        <v>315</v>
      </c>
      <c r="G63" s="31" t="s">
        <v>367</v>
      </c>
      <c r="H63" s="34" t="str">
        <f t="shared" si="0"/>
        <v>R60 - TOALLONES</v>
      </c>
    </row>
    <row r="64" spans="1:8" x14ac:dyDescent="0.25">
      <c r="A64" s="30"/>
      <c r="B64" s="32" t="s">
        <v>691</v>
      </c>
      <c r="C64" s="36" t="s">
        <v>330</v>
      </c>
      <c r="D64" s="31" t="s">
        <v>407</v>
      </c>
      <c r="E64" s="31" t="s">
        <v>366</v>
      </c>
      <c r="F64" s="31" t="s">
        <v>315</v>
      </c>
      <c r="G64" s="31" t="s">
        <v>369</v>
      </c>
      <c r="H64" s="34" t="str">
        <f t="shared" si="0"/>
        <v>R61 - BATAS</v>
      </c>
    </row>
    <row r="65" spans="1:8" x14ac:dyDescent="0.25">
      <c r="A65" s="30"/>
      <c r="B65" s="32" t="s">
        <v>691</v>
      </c>
      <c r="C65" s="36" t="s">
        <v>330</v>
      </c>
      <c r="D65" s="31" t="s">
        <v>408</v>
      </c>
      <c r="E65" s="31" t="s">
        <v>371</v>
      </c>
      <c r="F65" s="31" t="s">
        <v>288</v>
      </c>
      <c r="G65" s="31" t="s">
        <v>372</v>
      </c>
      <c r="H65" s="34" t="str">
        <f t="shared" si="0"/>
        <v>R62 - MANTAS</v>
      </c>
    </row>
    <row r="66" spans="1:8" x14ac:dyDescent="0.25">
      <c r="A66" s="30"/>
      <c r="B66" s="32" t="s">
        <v>691</v>
      </c>
      <c r="C66" s="36" t="s">
        <v>330</v>
      </c>
      <c r="D66" s="31" t="s">
        <v>409</v>
      </c>
      <c r="E66" s="31" t="s">
        <v>374</v>
      </c>
      <c r="F66" s="31" t="s">
        <v>288</v>
      </c>
      <c r="G66" s="31" t="s">
        <v>375</v>
      </c>
      <c r="H66" s="34" t="str">
        <f t="shared" si="0"/>
        <v>R65 - TRAJES DE BAÑO LYCRA</v>
      </c>
    </row>
    <row r="67" spans="1:8" x14ac:dyDescent="0.25">
      <c r="A67" s="30"/>
      <c r="B67" s="32" t="s">
        <v>691</v>
      </c>
      <c r="C67" s="36" t="s">
        <v>330</v>
      </c>
      <c r="D67" s="31" t="s">
        <v>410</v>
      </c>
      <c r="E67" s="31" t="s">
        <v>374</v>
      </c>
      <c r="F67" s="31" t="s">
        <v>315</v>
      </c>
      <c r="G67" s="31" t="s">
        <v>377</v>
      </c>
      <c r="H67" s="34" t="str">
        <f t="shared" ref="H67:H130" si="1">IF(G67="","",CONCATENATE(D67&amp;" - ",G67))</f>
        <v>R66 - TRAJES DE BAÑO PLANO</v>
      </c>
    </row>
    <row r="68" spans="1:8" x14ac:dyDescent="0.25">
      <c r="A68" s="30"/>
      <c r="B68" s="32" t="s">
        <v>691</v>
      </c>
      <c r="C68" s="36" t="s">
        <v>330</v>
      </c>
      <c r="D68" s="31" t="s">
        <v>411</v>
      </c>
      <c r="E68" s="31" t="s">
        <v>379</v>
      </c>
      <c r="F68" s="31" t="s">
        <v>288</v>
      </c>
      <c r="G68" s="31" t="s">
        <v>380</v>
      </c>
      <c r="H68" s="34" t="str">
        <f t="shared" si="1"/>
        <v>R90 - ACCESORIOS</v>
      </c>
    </row>
    <row r="69" spans="1:8" x14ac:dyDescent="0.25">
      <c r="A69" s="30"/>
      <c r="B69" s="30"/>
      <c r="C69" s="30"/>
      <c r="D69" s="31"/>
      <c r="E69" s="31"/>
      <c r="F69" s="31"/>
      <c r="G69" s="31"/>
      <c r="H69" s="34" t="str">
        <f t="shared" si="1"/>
        <v/>
      </c>
    </row>
    <row r="70" spans="1:8" x14ac:dyDescent="0.25">
      <c r="A70" s="30">
        <v>0</v>
      </c>
      <c r="B70" s="32" t="s">
        <v>692</v>
      </c>
      <c r="C70" s="36" t="s">
        <v>374</v>
      </c>
      <c r="D70" s="31" t="s">
        <v>412</v>
      </c>
      <c r="E70" s="31" t="s">
        <v>287</v>
      </c>
      <c r="F70" s="31" t="s">
        <v>288</v>
      </c>
      <c r="G70" s="31" t="s">
        <v>289</v>
      </c>
      <c r="H70" s="34" t="str">
        <f t="shared" si="1"/>
        <v>S01 - MONOS LIVIANOS</v>
      </c>
    </row>
    <row r="71" spans="1:8" x14ac:dyDescent="0.25">
      <c r="A71" s="30" t="s">
        <v>12</v>
      </c>
      <c r="B71" s="32" t="s">
        <v>692</v>
      </c>
      <c r="C71" s="36" t="s">
        <v>374</v>
      </c>
      <c r="D71" s="31" t="s">
        <v>413</v>
      </c>
      <c r="E71" s="31" t="s">
        <v>287</v>
      </c>
      <c r="F71" s="31" t="s">
        <v>288</v>
      </c>
      <c r="G71" s="31" t="s">
        <v>291</v>
      </c>
      <c r="H71" s="34" t="str">
        <f t="shared" si="1"/>
        <v>S05 - MONOS ABRIGO</v>
      </c>
    </row>
    <row r="72" spans="1:8" x14ac:dyDescent="0.25">
      <c r="A72" s="36" t="s">
        <v>609</v>
      </c>
      <c r="B72" s="32" t="s">
        <v>692</v>
      </c>
      <c r="C72" s="36" t="s">
        <v>374</v>
      </c>
      <c r="D72" s="31" t="s">
        <v>414</v>
      </c>
      <c r="E72" s="31" t="s">
        <v>293</v>
      </c>
      <c r="F72" s="31" t="s">
        <v>288</v>
      </c>
      <c r="G72" s="31" t="s">
        <v>294</v>
      </c>
      <c r="H72" s="34" t="str">
        <f t="shared" si="1"/>
        <v>S10 - PAÑALEROS</v>
      </c>
    </row>
    <row r="73" spans="1:8" x14ac:dyDescent="0.25">
      <c r="A73" s="30"/>
      <c r="B73" s="32" t="s">
        <v>692</v>
      </c>
      <c r="C73" s="36" t="s">
        <v>374</v>
      </c>
      <c r="D73" s="31" t="s">
        <v>415</v>
      </c>
      <c r="E73" s="31" t="s">
        <v>296</v>
      </c>
      <c r="F73" s="31" t="s">
        <v>288</v>
      </c>
      <c r="G73" s="31" t="s">
        <v>297</v>
      </c>
      <c r="H73" s="34" t="str">
        <f t="shared" si="1"/>
        <v>S11 - REMERAS</v>
      </c>
    </row>
    <row r="74" spans="1:8" x14ac:dyDescent="0.25">
      <c r="A74" s="30"/>
      <c r="B74" s="32" t="s">
        <v>692</v>
      </c>
      <c r="C74" s="36" t="s">
        <v>374</v>
      </c>
      <c r="D74" s="31" t="s">
        <v>416</v>
      </c>
      <c r="E74" s="31" t="s">
        <v>299</v>
      </c>
      <c r="F74" s="31" t="s">
        <v>300</v>
      </c>
      <c r="G74" s="31" t="s">
        <v>301</v>
      </c>
      <c r="H74" s="34" t="str">
        <f t="shared" si="1"/>
        <v>S12 - CAMISAS Y CHOMBAS</v>
      </c>
    </row>
    <row r="75" spans="1:8" x14ac:dyDescent="0.25">
      <c r="A75" s="30"/>
      <c r="B75" s="32" t="s">
        <v>692</v>
      </c>
      <c r="C75" s="36" t="s">
        <v>374</v>
      </c>
      <c r="D75" s="31" t="s">
        <v>417</v>
      </c>
      <c r="E75" s="31" t="s">
        <v>299</v>
      </c>
      <c r="F75" s="31" t="s">
        <v>300</v>
      </c>
      <c r="G75" s="31" t="s">
        <v>303</v>
      </c>
      <c r="H75" s="34" t="str">
        <f t="shared" si="1"/>
        <v>S13 - PAÑALEROS CAMISA Y CHOMBA</v>
      </c>
    </row>
    <row r="76" spans="1:8" x14ac:dyDescent="0.25">
      <c r="A76" s="30"/>
      <c r="B76" s="32" t="s">
        <v>692</v>
      </c>
      <c r="C76" s="36" t="s">
        <v>374</v>
      </c>
      <c r="D76" s="31" t="s">
        <v>418</v>
      </c>
      <c r="E76" s="31" t="s">
        <v>305</v>
      </c>
      <c r="F76" s="31" t="s">
        <v>288</v>
      </c>
      <c r="G76" s="31" t="s">
        <v>306</v>
      </c>
      <c r="H76" s="34" t="str">
        <f t="shared" si="1"/>
        <v>S15 - CONJUNTO PANTALON Y CANGURO/ SAQUITO</v>
      </c>
    </row>
    <row r="77" spans="1:8" x14ac:dyDescent="0.25">
      <c r="A77" s="30"/>
      <c r="B77" s="32" t="s">
        <v>692</v>
      </c>
      <c r="C77" s="36" t="s">
        <v>374</v>
      </c>
      <c r="D77" s="31" t="s">
        <v>419</v>
      </c>
      <c r="E77" s="31" t="s">
        <v>224</v>
      </c>
      <c r="F77" s="31" t="s">
        <v>288</v>
      </c>
      <c r="G77" s="31" t="s">
        <v>308</v>
      </c>
      <c r="H77" s="34" t="str">
        <f t="shared" si="1"/>
        <v>S20 - CONJUNTO BATITA Y RANITA</v>
      </c>
    </row>
    <row r="78" spans="1:8" x14ac:dyDescent="0.25">
      <c r="A78" s="30"/>
      <c r="B78" s="32" t="s">
        <v>692</v>
      </c>
      <c r="C78" s="36" t="s">
        <v>374</v>
      </c>
      <c r="D78" s="31" t="s">
        <v>420</v>
      </c>
      <c r="E78" s="31" t="s">
        <v>224</v>
      </c>
      <c r="F78" s="31" t="s">
        <v>288</v>
      </c>
      <c r="G78" s="31" t="s">
        <v>310</v>
      </c>
      <c r="H78" s="34" t="str">
        <f t="shared" si="1"/>
        <v>S21 - AJUAR, VARIAS PRENDAS</v>
      </c>
    </row>
    <row r="79" spans="1:8" x14ac:dyDescent="0.25">
      <c r="A79" s="30"/>
      <c r="B79" s="32" t="s">
        <v>692</v>
      </c>
      <c r="C79" s="36" t="s">
        <v>374</v>
      </c>
      <c r="D79" s="31" t="s">
        <v>421</v>
      </c>
      <c r="E79" s="31" t="s">
        <v>312</v>
      </c>
      <c r="F79" s="31" t="s">
        <v>288</v>
      </c>
      <c r="G79" s="31" t="s">
        <v>313</v>
      </c>
      <c r="H79" s="34" t="str">
        <f t="shared" si="1"/>
        <v>S25 - BERMUDAS Y SHORTS PUNTO</v>
      </c>
    </row>
    <row r="80" spans="1:8" x14ac:dyDescent="0.25">
      <c r="A80" s="30"/>
      <c r="B80" s="32" t="s">
        <v>692</v>
      </c>
      <c r="C80" s="36" t="s">
        <v>374</v>
      </c>
      <c r="D80" s="31" t="s">
        <v>422</v>
      </c>
      <c r="E80" s="31" t="s">
        <v>312</v>
      </c>
      <c r="F80" s="31" t="s">
        <v>315</v>
      </c>
      <c r="G80" s="31" t="s">
        <v>316</v>
      </c>
      <c r="H80" s="34" t="str">
        <f t="shared" si="1"/>
        <v>S31 - BERMUDAS Y SHORTS PLANO</v>
      </c>
    </row>
    <row r="81" spans="1:8" x14ac:dyDescent="0.25">
      <c r="A81" s="30"/>
      <c r="B81" s="32" t="s">
        <v>692</v>
      </c>
      <c r="C81" s="36" t="s">
        <v>374</v>
      </c>
      <c r="D81" s="31" t="s">
        <v>423</v>
      </c>
      <c r="E81" s="31" t="s">
        <v>312</v>
      </c>
      <c r="F81" s="31" t="s">
        <v>315</v>
      </c>
      <c r="G81" s="31" t="s">
        <v>318</v>
      </c>
      <c r="H81" s="34" t="str">
        <f t="shared" si="1"/>
        <v>S27 - BERMUDAS Y SHORTS DENIM</v>
      </c>
    </row>
    <row r="82" spans="1:8" x14ac:dyDescent="0.25">
      <c r="A82" s="30"/>
      <c r="B82" s="32" t="s">
        <v>692</v>
      </c>
      <c r="C82" s="36" t="s">
        <v>374</v>
      </c>
      <c r="D82" s="31" t="s">
        <v>424</v>
      </c>
      <c r="E82" s="31" t="s">
        <v>320</v>
      </c>
      <c r="F82" s="31" t="s">
        <v>315</v>
      </c>
      <c r="G82" s="31" t="s">
        <v>321</v>
      </c>
      <c r="H82" s="34" t="str">
        <f t="shared" si="1"/>
        <v>S29 - PANTALON RANITA PLANO</v>
      </c>
    </row>
    <row r="83" spans="1:8" x14ac:dyDescent="0.25">
      <c r="A83" s="30"/>
      <c r="B83" s="32" t="s">
        <v>692</v>
      </c>
      <c r="C83" s="36" t="s">
        <v>374</v>
      </c>
      <c r="D83" s="31" t="s">
        <v>425</v>
      </c>
      <c r="E83" s="31" t="s">
        <v>320</v>
      </c>
      <c r="F83" s="31" t="s">
        <v>288</v>
      </c>
      <c r="G83" s="31" t="s">
        <v>323</v>
      </c>
      <c r="H83" s="34" t="str">
        <f t="shared" si="1"/>
        <v>S30 - PANTALON RANITA PUNTO</v>
      </c>
    </row>
    <row r="84" spans="1:8" x14ac:dyDescent="0.25">
      <c r="A84" s="30"/>
      <c r="B84" s="32" t="s">
        <v>692</v>
      </c>
      <c r="C84" s="36" t="s">
        <v>374</v>
      </c>
      <c r="D84" s="31" t="s">
        <v>426</v>
      </c>
      <c r="E84" s="31" t="s">
        <v>320</v>
      </c>
      <c r="F84" s="31" t="s">
        <v>315</v>
      </c>
      <c r="G84" s="31" t="s">
        <v>325</v>
      </c>
      <c r="H84" s="34" t="str">
        <f t="shared" si="1"/>
        <v>S32 - PANTALON RANITADENIM</v>
      </c>
    </row>
    <row r="85" spans="1:8" x14ac:dyDescent="0.25">
      <c r="A85" s="30"/>
      <c r="B85" s="32" t="s">
        <v>692</v>
      </c>
      <c r="C85" s="36" t="s">
        <v>374</v>
      </c>
      <c r="D85" s="31" t="s">
        <v>427</v>
      </c>
      <c r="E85" s="31" t="s">
        <v>327</v>
      </c>
      <c r="F85" s="31" t="s">
        <v>288</v>
      </c>
      <c r="G85" s="31" t="s">
        <v>328</v>
      </c>
      <c r="H85" s="34" t="str">
        <f t="shared" si="1"/>
        <v>S33 - CALCITAS</v>
      </c>
    </row>
    <row r="86" spans="1:8" x14ac:dyDescent="0.25">
      <c r="A86" s="30"/>
      <c r="B86" s="32" t="s">
        <v>692</v>
      </c>
      <c r="C86" s="36" t="s">
        <v>374</v>
      </c>
      <c r="D86" s="31" t="s">
        <v>428</v>
      </c>
      <c r="E86" s="31" t="s">
        <v>330</v>
      </c>
      <c r="F86" s="31" t="s">
        <v>315</v>
      </c>
      <c r="G86" s="31" t="s">
        <v>331</v>
      </c>
      <c r="H86" s="34" t="str">
        <f t="shared" si="1"/>
        <v>S35 - VESTIDOS PLANO</v>
      </c>
    </row>
    <row r="87" spans="1:8" x14ac:dyDescent="0.25">
      <c r="A87" s="30"/>
      <c r="B87" s="32" t="s">
        <v>692</v>
      </c>
      <c r="C87" s="36" t="s">
        <v>374</v>
      </c>
      <c r="D87" s="31" t="s">
        <v>429</v>
      </c>
      <c r="E87" s="31" t="s">
        <v>330</v>
      </c>
      <c r="F87" s="31" t="s">
        <v>288</v>
      </c>
      <c r="G87" s="31" t="s">
        <v>333</v>
      </c>
      <c r="H87" s="34" t="str">
        <f t="shared" si="1"/>
        <v>S36 - VESTIDOS PUNTO</v>
      </c>
    </row>
    <row r="88" spans="1:8" x14ac:dyDescent="0.25">
      <c r="A88" s="30"/>
      <c r="B88" s="32" t="s">
        <v>692</v>
      </c>
      <c r="C88" s="36" t="s">
        <v>374</v>
      </c>
      <c r="D88" s="31" t="s">
        <v>430</v>
      </c>
      <c r="E88" s="31" t="s">
        <v>335</v>
      </c>
      <c r="F88" s="31" t="s">
        <v>336</v>
      </c>
      <c r="G88" s="31" t="s">
        <v>337</v>
      </c>
      <c r="H88" s="34" t="str">
        <f t="shared" si="1"/>
        <v>S37 - POLLERITAS, BOMPACHONES</v>
      </c>
    </row>
    <row r="89" spans="1:8" x14ac:dyDescent="0.25">
      <c r="A89" s="30"/>
      <c r="B89" s="32" t="s">
        <v>692</v>
      </c>
      <c r="C89" s="36" t="s">
        <v>374</v>
      </c>
      <c r="D89" s="31" t="s">
        <v>431</v>
      </c>
      <c r="E89" s="31" t="s">
        <v>339</v>
      </c>
      <c r="F89" s="31" t="s">
        <v>288</v>
      </c>
      <c r="G89" s="31" t="s">
        <v>340</v>
      </c>
      <c r="H89" s="34" t="str">
        <f t="shared" si="1"/>
        <v>S42 - BUZOS</v>
      </c>
    </row>
    <row r="90" spans="1:8" x14ac:dyDescent="0.25">
      <c r="A90" s="30"/>
      <c r="B90" s="32" t="s">
        <v>692</v>
      </c>
      <c r="C90" s="36" t="s">
        <v>374</v>
      </c>
      <c r="D90" s="31" t="s">
        <v>432</v>
      </c>
      <c r="E90" s="31" t="s">
        <v>339</v>
      </c>
      <c r="F90" s="31" t="s">
        <v>288</v>
      </c>
      <c r="G90" s="31" t="s">
        <v>342</v>
      </c>
      <c r="H90" s="34" t="str">
        <f t="shared" si="1"/>
        <v>S40 - SAQUITOS Y CANGUROS PUNTO</v>
      </c>
    </row>
    <row r="91" spans="1:8" x14ac:dyDescent="0.25">
      <c r="A91" s="30"/>
      <c r="B91" s="32" t="s">
        <v>692</v>
      </c>
      <c r="C91" s="36" t="s">
        <v>374</v>
      </c>
      <c r="D91" s="31" t="s">
        <v>433</v>
      </c>
      <c r="E91" s="31" t="s">
        <v>344</v>
      </c>
      <c r="F91" s="31" t="s">
        <v>345</v>
      </c>
      <c r="G91" s="31" t="s">
        <v>346</v>
      </c>
      <c r="H91" s="34" t="str">
        <f t="shared" si="1"/>
        <v>S51 - SAQUITOS TEJIDOS</v>
      </c>
    </row>
    <row r="92" spans="1:8" x14ac:dyDescent="0.25">
      <c r="A92" s="30"/>
      <c r="B92" s="32" t="s">
        <v>692</v>
      </c>
      <c r="C92" s="36" t="s">
        <v>374</v>
      </c>
      <c r="D92" s="31" t="s">
        <v>434</v>
      </c>
      <c r="E92" s="31" t="s">
        <v>348</v>
      </c>
      <c r="F92" s="31" t="s">
        <v>288</v>
      </c>
      <c r="G92" s="31" t="s">
        <v>349</v>
      </c>
      <c r="H92" s="34" t="str">
        <f t="shared" si="1"/>
        <v>S45 - JARDINEROS PUNTO</v>
      </c>
    </row>
    <row r="93" spans="1:8" x14ac:dyDescent="0.25">
      <c r="A93" s="30"/>
      <c r="B93" s="32" t="s">
        <v>692</v>
      </c>
      <c r="C93" s="36" t="s">
        <v>374</v>
      </c>
      <c r="D93" s="31" t="s">
        <v>435</v>
      </c>
      <c r="E93" s="31" t="s">
        <v>348</v>
      </c>
      <c r="F93" s="31" t="s">
        <v>315</v>
      </c>
      <c r="G93" s="31" t="s">
        <v>351</v>
      </c>
      <c r="H93" s="34" t="str">
        <f t="shared" si="1"/>
        <v>S46 - JARDINEROS PLANO</v>
      </c>
    </row>
    <row r="94" spans="1:8" x14ac:dyDescent="0.25">
      <c r="A94" s="30"/>
      <c r="B94" s="32" t="s">
        <v>692</v>
      </c>
      <c r="C94" s="36" t="s">
        <v>374</v>
      </c>
      <c r="D94" s="31" t="s">
        <v>436</v>
      </c>
      <c r="E94" s="31" t="s">
        <v>348</v>
      </c>
      <c r="F94" s="31" t="s">
        <v>315</v>
      </c>
      <c r="G94" s="31" t="s">
        <v>353</v>
      </c>
      <c r="H94" s="34" t="str">
        <f t="shared" si="1"/>
        <v>S47 - JARDINEROS DENIM</v>
      </c>
    </row>
    <row r="95" spans="1:8" x14ac:dyDescent="0.25">
      <c r="A95" s="30"/>
      <c r="B95" s="32" t="s">
        <v>692</v>
      </c>
      <c r="C95" s="36" t="s">
        <v>374</v>
      </c>
      <c r="D95" s="31" t="s">
        <v>437</v>
      </c>
      <c r="E95" s="31" t="s">
        <v>355</v>
      </c>
      <c r="F95" s="31" t="s">
        <v>315</v>
      </c>
      <c r="G95" s="31" t="s">
        <v>356</v>
      </c>
      <c r="H95" s="34" t="str">
        <f t="shared" si="1"/>
        <v>S50 - CAMPERAS ABRIGO GUATA</v>
      </c>
    </row>
    <row r="96" spans="1:8" x14ac:dyDescent="0.25">
      <c r="A96" s="30"/>
      <c r="B96" s="32" t="s">
        <v>692</v>
      </c>
      <c r="C96" s="36" t="s">
        <v>374</v>
      </c>
      <c r="D96" s="31" t="s">
        <v>438</v>
      </c>
      <c r="E96" s="31" t="s">
        <v>358</v>
      </c>
      <c r="F96" s="31" t="s">
        <v>315</v>
      </c>
      <c r="G96" s="31" t="s">
        <v>359</v>
      </c>
      <c r="H96" s="34" t="str">
        <f t="shared" si="1"/>
        <v>S52 - TAPADITO, CAMPERITA PLANO OTROS</v>
      </c>
    </row>
    <row r="97" spans="1:8" x14ac:dyDescent="0.25">
      <c r="A97" s="30"/>
      <c r="B97" s="32" t="s">
        <v>692</v>
      </c>
      <c r="C97" s="36" t="s">
        <v>374</v>
      </c>
      <c r="D97" s="31" t="s">
        <v>439</v>
      </c>
      <c r="E97" s="31" t="s">
        <v>361</v>
      </c>
      <c r="F97" s="31" t="s">
        <v>288</v>
      </c>
      <c r="G97" s="31" t="s">
        <v>362</v>
      </c>
      <c r="H97" s="34" t="str">
        <f t="shared" si="1"/>
        <v>S55 - BABEROS</v>
      </c>
    </row>
    <row r="98" spans="1:8" x14ac:dyDescent="0.25">
      <c r="A98" s="30"/>
      <c r="B98" s="32" t="s">
        <v>692</v>
      </c>
      <c r="C98" s="36" t="s">
        <v>374</v>
      </c>
      <c r="D98" s="31" t="s">
        <v>440</v>
      </c>
      <c r="E98" s="31" t="s">
        <v>361</v>
      </c>
      <c r="F98" s="31" t="s">
        <v>288</v>
      </c>
      <c r="G98" s="31" t="s">
        <v>364</v>
      </c>
      <c r="H98" s="34" t="str">
        <f t="shared" si="1"/>
        <v>S56 - BABITAS</v>
      </c>
    </row>
    <row r="99" spans="1:8" x14ac:dyDescent="0.25">
      <c r="A99" s="30"/>
      <c r="B99" s="32" t="s">
        <v>692</v>
      </c>
      <c r="C99" s="36" t="s">
        <v>374</v>
      </c>
      <c r="D99" s="31" t="s">
        <v>441</v>
      </c>
      <c r="E99" s="31" t="s">
        <v>366</v>
      </c>
      <c r="F99" s="31" t="s">
        <v>315</v>
      </c>
      <c r="G99" s="31" t="s">
        <v>367</v>
      </c>
      <c r="H99" s="34" t="str">
        <f t="shared" si="1"/>
        <v>S60 - TOALLONES</v>
      </c>
    </row>
    <row r="100" spans="1:8" x14ac:dyDescent="0.25">
      <c r="A100" s="30"/>
      <c r="B100" s="32" t="s">
        <v>692</v>
      </c>
      <c r="C100" s="36" t="s">
        <v>374</v>
      </c>
      <c r="D100" s="31" t="s">
        <v>442</v>
      </c>
      <c r="E100" s="31" t="s">
        <v>366</v>
      </c>
      <c r="F100" s="31" t="s">
        <v>315</v>
      </c>
      <c r="G100" s="31" t="s">
        <v>369</v>
      </c>
      <c r="H100" s="34" t="str">
        <f t="shared" si="1"/>
        <v>S61 - BATAS</v>
      </c>
    </row>
    <row r="101" spans="1:8" x14ac:dyDescent="0.25">
      <c r="A101" s="30"/>
      <c r="B101" s="32" t="s">
        <v>692</v>
      </c>
      <c r="C101" s="36" t="s">
        <v>374</v>
      </c>
      <c r="D101" s="31" t="s">
        <v>443</v>
      </c>
      <c r="E101" s="31" t="s">
        <v>371</v>
      </c>
      <c r="F101" s="31" t="s">
        <v>288</v>
      </c>
      <c r="G101" s="31" t="s">
        <v>372</v>
      </c>
      <c r="H101" s="34" t="str">
        <f t="shared" si="1"/>
        <v>S62 - MANTAS</v>
      </c>
    </row>
    <row r="102" spans="1:8" x14ac:dyDescent="0.25">
      <c r="A102" s="30"/>
      <c r="B102" s="32" t="s">
        <v>692</v>
      </c>
      <c r="C102" s="36" t="s">
        <v>374</v>
      </c>
      <c r="D102" s="31" t="s">
        <v>444</v>
      </c>
      <c r="E102" s="31" t="s">
        <v>374</v>
      </c>
      <c r="F102" s="31" t="s">
        <v>288</v>
      </c>
      <c r="G102" s="31" t="s">
        <v>375</v>
      </c>
      <c r="H102" s="34" t="str">
        <f t="shared" si="1"/>
        <v>S65 - TRAJES DE BAÑO LYCRA</v>
      </c>
    </row>
    <row r="103" spans="1:8" x14ac:dyDescent="0.25">
      <c r="A103" s="30"/>
      <c r="B103" s="32" t="s">
        <v>692</v>
      </c>
      <c r="C103" s="36" t="s">
        <v>374</v>
      </c>
      <c r="D103" s="31" t="s">
        <v>445</v>
      </c>
      <c r="E103" s="31" t="s">
        <v>374</v>
      </c>
      <c r="F103" s="31" t="s">
        <v>315</v>
      </c>
      <c r="G103" s="31" t="s">
        <v>377</v>
      </c>
      <c r="H103" s="34" t="str">
        <f t="shared" si="1"/>
        <v>S66 - TRAJES DE BAÑO PLANO</v>
      </c>
    </row>
    <row r="104" spans="1:8" x14ac:dyDescent="0.25">
      <c r="A104" s="30"/>
      <c r="B104" s="32" t="s">
        <v>692</v>
      </c>
      <c r="C104" s="36" t="s">
        <v>374</v>
      </c>
      <c r="D104" s="31" t="s">
        <v>446</v>
      </c>
      <c r="E104" s="31" t="s">
        <v>379</v>
      </c>
      <c r="F104" s="31" t="s">
        <v>288</v>
      </c>
      <c r="G104" s="31" t="s">
        <v>380</v>
      </c>
      <c r="H104" s="34" t="str">
        <f t="shared" si="1"/>
        <v>S90 - ACCESORIOS</v>
      </c>
    </row>
    <row r="105" spans="1:8" x14ac:dyDescent="0.25">
      <c r="A105" s="30"/>
      <c r="B105" s="30"/>
      <c r="C105" s="30"/>
      <c r="D105" s="31"/>
      <c r="E105" s="31"/>
      <c r="F105" s="30"/>
      <c r="G105" s="30"/>
      <c r="H105" s="34" t="str">
        <f t="shared" si="1"/>
        <v/>
      </c>
    </row>
    <row r="106" spans="1:8" x14ac:dyDescent="0.25">
      <c r="A106" s="31">
        <v>0</v>
      </c>
      <c r="B106" s="31" t="s">
        <v>447</v>
      </c>
      <c r="C106" s="36" t="s">
        <v>330</v>
      </c>
      <c r="D106" s="31" t="s">
        <v>448</v>
      </c>
      <c r="E106" s="31" t="s">
        <v>287</v>
      </c>
      <c r="F106" s="31" t="s">
        <v>288</v>
      </c>
      <c r="G106" s="31" t="s">
        <v>289</v>
      </c>
      <c r="H106" s="34" t="str">
        <f t="shared" si="1"/>
        <v>A01 - MONOS LIVIANOS</v>
      </c>
    </row>
    <row r="107" spans="1:8" x14ac:dyDescent="0.25">
      <c r="A107" s="31" t="s">
        <v>12</v>
      </c>
      <c r="B107" s="31" t="s">
        <v>447</v>
      </c>
      <c r="C107" s="36" t="s">
        <v>330</v>
      </c>
      <c r="D107" s="31" t="s">
        <v>449</v>
      </c>
      <c r="E107" s="31" t="s">
        <v>287</v>
      </c>
      <c r="F107" s="31" t="s">
        <v>288</v>
      </c>
      <c r="G107" s="31" t="s">
        <v>291</v>
      </c>
      <c r="H107" s="34" t="str">
        <f t="shared" si="1"/>
        <v>A05 - MONOS ABRIGO</v>
      </c>
    </row>
    <row r="108" spans="1:8" x14ac:dyDescent="0.25">
      <c r="A108" s="31" t="s">
        <v>450</v>
      </c>
      <c r="B108" s="31" t="s">
        <v>447</v>
      </c>
      <c r="C108" s="36" t="s">
        <v>330</v>
      </c>
      <c r="D108" s="31" t="s">
        <v>451</v>
      </c>
      <c r="E108" s="31" t="s">
        <v>293</v>
      </c>
      <c r="F108" s="31" t="s">
        <v>288</v>
      </c>
      <c r="G108" s="31" t="s">
        <v>294</v>
      </c>
      <c r="H108" s="34" t="str">
        <f t="shared" si="1"/>
        <v>A10 - PAÑALEROS</v>
      </c>
    </row>
    <row r="109" spans="1:8" x14ac:dyDescent="0.25">
      <c r="A109" s="31"/>
      <c r="B109" s="31" t="s">
        <v>447</v>
      </c>
      <c r="C109" s="36" t="s">
        <v>330</v>
      </c>
      <c r="D109" s="31" t="s">
        <v>452</v>
      </c>
      <c r="E109" s="31" t="s">
        <v>296</v>
      </c>
      <c r="F109" s="31" t="s">
        <v>288</v>
      </c>
      <c r="G109" s="31" t="s">
        <v>297</v>
      </c>
      <c r="H109" s="34" t="str">
        <f t="shared" si="1"/>
        <v>A11 - REMERAS</v>
      </c>
    </row>
    <row r="110" spans="1:8" x14ac:dyDescent="0.25">
      <c r="A110" s="36" t="s">
        <v>609</v>
      </c>
      <c r="B110" s="31" t="s">
        <v>447</v>
      </c>
      <c r="C110" s="36" t="s">
        <v>330</v>
      </c>
      <c r="D110" s="31" t="s">
        <v>453</v>
      </c>
      <c r="E110" s="31" t="s">
        <v>299</v>
      </c>
      <c r="F110" s="31" t="s">
        <v>300</v>
      </c>
      <c r="G110" s="31" t="s">
        <v>301</v>
      </c>
      <c r="H110" s="34" t="str">
        <f t="shared" si="1"/>
        <v>A12 - CAMISAS Y CHOMBAS</v>
      </c>
    </row>
    <row r="111" spans="1:8" x14ac:dyDescent="0.25">
      <c r="A111" s="31"/>
      <c r="B111" s="31" t="s">
        <v>447</v>
      </c>
      <c r="C111" s="36" t="s">
        <v>330</v>
      </c>
      <c r="D111" s="31" t="s">
        <v>454</v>
      </c>
      <c r="E111" s="31" t="s">
        <v>299</v>
      </c>
      <c r="F111" s="31" t="s">
        <v>300</v>
      </c>
      <c r="G111" s="31" t="s">
        <v>303</v>
      </c>
      <c r="H111" s="34" t="str">
        <f t="shared" si="1"/>
        <v>A13 - PAÑALEROS CAMISA Y CHOMBA</v>
      </c>
    </row>
    <row r="112" spans="1:8" x14ac:dyDescent="0.25">
      <c r="A112" s="31"/>
      <c r="B112" s="31" t="s">
        <v>447</v>
      </c>
      <c r="C112" s="36" t="s">
        <v>330</v>
      </c>
      <c r="D112" s="31" t="s">
        <v>455</v>
      </c>
      <c r="E112" s="31" t="s">
        <v>305</v>
      </c>
      <c r="F112" s="31" t="s">
        <v>288</v>
      </c>
      <c r="G112" s="31" t="s">
        <v>306</v>
      </c>
      <c r="H112" s="34" t="str">
        <f t="shared" si="1"/>
        <v>A15 - CONJUNTO PANTALON Y CANGURO/ SAQUITO</v>
      </c>
    </row>
    <row r="113" spans="1:8" x14ac:dyDescent="0.25">
      <c r="A113" s="31"/>
      <c r="B113" s="31" t="s">
        <v>447</v>
      </c>
      <c r="C113" s="36" t="s">
        <v>330</v>
      </c>
      <c r="D113" s="31" t="s">
        <v>456</v>
      </c>
      <c r="E113" s="31" t="s">
        <v>224</v>
      </c>
      <c r="F113" s="31" t="s">
        <v>288</v>
      </c>
      <c r="G113" s="31" t="s">
        <v>308</v>
      </c>
      <c r="H113" s="34" t="str">
        <f t="shared" si="1"/>
        <v>A20 - CONJUNTO BATITA Y RANITA</v>
      </c>
    </row>
    <row r="114" spans="1:8" x14ac:dyDescent="0.25">
      <c r="A114" s="31"/>
      <c r="B114" s="31" t="s">
        <v>447</v>
      </c>
      <c r="C114" s="36" t="s">
        <v>330</v>
      </c>
      <c r="D114" s="31" t="s">
        <v>457</v>
      </c>
      <c r="E114" s="31" t="s">
        <v>224</v>
      </c>
      <c r="F114" s="31" t="s">
        <v>288</v>
      </c>
      <c r="G114" s="31" t="s">
        <v>310</v>
      </c>
      <c r="H114" s="34" t="str">
        <f t="shared" si="1"/>
        <v>A21 - AJUAR, VARIAS PRENDAS</v>
      </c>
    </row>
    <row r="115" spans="1:8" x14ac:dyDescent="0.25">
      <c r="A115" s="31"/>
      <c r="B115" s="31" t="s">
        <v>447</v>
      </c>
      <c r="C115" s="36" t="s">
        <v>330</v>
      </c>
      <c r="D115" s="31" t="s">
        <v>458</v>
      </c>
      <c r="E115" s="31" t="s">
        <v>312</v>
      </c>
      <c r="F115" s="31" t="s">
        <v>288</v>
      </c>
      <c r="G115" s="31" t="s">
        <v>313</v>
      </c>
      <c r="H115" s="34" t="str">
        <f t="shared" si="1"/>
        <v>A25 - BERMUDAS Y SHORTS PUNTO</v>
      </c>
    </row>
    <row r="116" spans="1:8" x14ac:dyDescent="0.25">
      <c r="A116" s="31"/>
      <c r="B116" s="31" t="s">
        <v>447</v>
      </c>
      <c r="C116" s="36" t="s">
        <v>330</v>
      </c>
      <c r="D116" s="31" t="s">
        <v>459</v>
      </c>
      <c r="E116" s="31" t="s">
        <v>312</v>
      </c>
      <c r="F116" s="31" t="s">
        <v>315</v>
      </c>
      <c r="G116" s="31" t="s">
        <v>316</v>
      </c>
      <c r="H116" s="34" t="str">
        <f t="shared" si="1"/>
        <v>A31 - BERMUDAS Y SHORTS PLANO</v>
      </c>
    </row>
    <row r="117" spans="1:8" x14ac:dyDescent="0.25">
      <c r="A117" s="31"/>
      <c r="B117" s="31" t="s">
        <v>447</v>
      </c>
      <c r="C117" s="36" t="s">
        <v>330</v>
      </c>
      <c r="D117" s="31" t="s">
        <v>460</v>
      </c>
      <c r="E117" s="31" t="s">
        <v>312</v>
      </c>
      <c r="F117" s="31" t="s">
        <v>315</v>
      </c>
      <c r="G117" s="31" t="s">
        <v>318</v>
      </c>
      <c r="H117" s="34" t="str">
        <f t="shared" si="1"/>
        <v>A27 - BERMUDAS Y SHORTS DENIM</v>
      </c>
    </row>
    <row r="118" spans="1:8" x14ac:dyDescent="0.25">
      <c r="A118" s="31"/>
      <c r="B118" s="31" t="s">
        <v>447</v>
      </c>
      <c r="C118" s="36" t="s">
        <v>330</v>
      </c>
      <c r="D118" s="31" t="s">
        <v>461</v>
      </c>
      <c r="E118" s="31" t="s">
        <v>320</v>
      </c>
      <c r="F118" s="31" t="s">
        <v>315</v>
      </c>
      <c r="G118" s="31" t="s">
        <v>321</v>
      </c>
      <c r="H118" s="34" t="str">
        <f t="shared" si="1"/>
        <v>A29 - PANTALON RANITA PLANO</v>
      </c>
    </row>
    <row r="119" spans="1:8" x14ac:dyDescent="0.25">
      <c r="A119" s="31"/>
      <c r="B119" s="31" t="s">
        <v>447</v>
      </c>
      <c r="C119" s="36" t="s">
        <v>330</v>
      </c>
      <c r="D119" s="31" t="s">
        <v>462</v>
      </c>
      <c r="E119" s="31" t="s">
        <v>320</v>
      </c>
      <c r="F119" s="31" t="s">
        <v>288</v>
      </c>
      <c r="G119" s="31" t="s">
        <v>323</v>
      </c>
      <c r="H119" s="34" t="str">
        <f t="shared" si="1"/>
        <v>A30 - PANTALON RANITA PUNTO</v>
      </c>
    </row>
    <row r="120" spans="1:8" x14ac:dyDescent="0.25">
      <c r="A120" s="31"/>
      <c r="B120" s="31" t="s">
        <v>447</v>
      </c>
      <c r="C120" s="36" t="s">
        <v>330</v>
      </c>
      <c r="D120" s="31" t="s">
        <v>463</v>
      </c>
      <c r="E120" s="31" t="s">
        <v>320</v>
      </c>
      <c r="F120" s="31" t="s">
        <v>315</v>
      </c>
      <c r="G120" s="31" t="s">
        <v>325</v>
      </c>
      <c r="H120" s="34" t="str">
        <f t="shared" si="1"/>
        <v>A32 - PANTALON RANITADENIM</v>
      </c>
    </row>
    <row r="121" spans="1:8" x14ac:dyDescent="0.25">
      <c r="A121" s="31"/>
      <c r="B121" s="31" t="s">
        <v>447</v>
      </c>
      <c r="C121" s="36" t="s">
        <v>330</v>
      </c>
      <c r="D121" s="31" t="s">
        <v>464</v>
      </c>
      <c r="E121" s="31" t="s">
        <v>327</v>
      </c>
      <c r="F121" s="31" t="s">
        <v>288</v>
      </c>
      <c r="G121" s="31" t="s">
        <v>328</v>
      </c>
      <c r="H121" s="34" t="str">
        <f t="shared" si="1"/>
        <v>A33 - CALCITAS</v>
      </c>
    </row>
    <row r="122" spans="1:8" x14ac:dyDescent="0.25">
      <c r="A122" s="31"/>
      <c r="B122" s="31" t="s">
        <v>447</v>
      </c>
      <c r="C122" s="36" t="s">
        <v>330</v>
      </c>
      <c r="D122" s="31" t="s">
        <v>465</v>
      </c>
      <c r="E122" s="31" t="s">
        <v>330</v>
      </c>
      <c r="F122" s="31" t="s">
        <v>315</v>
      </c>
      <c r="G122" s="31" t="s">
        <v>331</v>
      </c>
      <c r="H122" s="34" t="str">
        <f t="shared" si="1"/>
        <v>A35 - VESTIDOS PLANO</v>
      </c>
    </row>
    <row r="123" spans="1:8" x14ac:dyDescent="0.25">
      <c r="A123" s="31"/>
      <c r="B123" s="31" t="s">
        <v>447</v>
      </c>
      <c r="C123" s="36" t="s">
        <v>330</v>
      </c>
      <c r="D123" s="31" t="s">
        <v>466</v>
      </c>
      <c r="E123" s="31" t="s">
        <v>330</v>
      </c>
      <c r="F123" s="31" t="s">
        <v>288</v>
      </c>
      <c r="G123" s="31" t="s">
        <v>333</v>
      </c>
      <c r="H123" s="34" t="str">
        <f t="shared" si="1"/>
        <v>A36 - VESTIDOS PUNTO</v>
      </c>
    </row>
    <row r="124" spans="1:8" x14ac:dyDescent="0.25">
      <c r="A124" s="31"/>
      <c r="B124" s="31" t="s">
        <v>447</v>
      </c>
      <c r="C124" s="36" t="s">
        <v>330</v>
      </c>
      <c r="D124" s="31" t="s">
        <v>467</v>
      </c>
      <c r="E124" s="31" t="s">
        <v>335</v>
      </c>
      <c r="F124" s="31" t="s">
        <v>336</v>
      </c>
      <c r="G124" s="31" t="s">
        <v>468</v>
      </c>
      <c r="H124" s="34" t="str">
        <f t="shared" si="1"/>
        <v>A37 - POLLERITAS, BOMBACHONES</v>
      </c>
    </row>
    <row r="125" spans="1:8" x14ac:dyDescent="0.25">
      <c r="A125" s="31"/>
      <c r="B125" s="31" t="s">
        <v>447</v>
      </c>
      <c r="C125" s="36" t="s">
        <v>330</v>
      </c>
      <c r="D125" s="31" t="s">
        <v>469</v>
      </c>
      <c r="E125" s="31" t="s">
        <v>339</v>
      </c>
      <c r="F125" s="31" t="s">
        <v>288</v>
      </c>
      <c r="G125" s="31" t="s">
        <v>340</v>
      </c>
      <c r="H125" s="34" t="str">
        <f t="shared" si="1"/>
        <v>A42 - BUZOS</v>
      </c>
    </row>
    <row r="126" spans="1:8" x14ac:dyDescent="0.25">
      <c r="A126" s="31"/>
      <c r="B126" s="31" t="s">
        <v>447</v>
      </c>
      <c r="C126" s="36" t="s">
        <v>330</v>
      </c>
      <c r="D126" s="31" t="s">
        <v>470</v>
      </c>
      <c r="E126" s="31" t="s">
        <v>339</v>
      </c>
      <c r="F126" s="31" t="s">
        <v>288</v>
      </c>
      <c r="G126" s="31" t="s">
        <v>342</v>
      </c>
      <c r="H126" s="34" t="str">
        <f t="shared" si="1"/>
        <v>A40 - SAQUITOS Y CANGUROS PUNTO</v>
      </c>
    </row>
    <row r="127" spans="1:8" x14ac:dyDescent="0.25">
      <c r="A127" s="31"/>
      <c r="B127" s="31" t="s">
        <v>447</v>
      </c>
      <c r="C127" s="36" t="s">
        <v>330</v>
      </c>
      <c r="D127" s="31" t="s">
        <v>471</v>
      </c>
      <c r="E127" s="31" t="s">
        <v>344</v>
      </c>
      <c r="F127" s="31" t="s">
        <v>345</v>
      </c>
      <c r="G127" s="31" t="s">
        <v>346</v>
      </c>
      <c r="H127" s="34" t="str">
        <f t="shared" si="1"/>
        <v>A51 - SAQUITOS TEJIDOS</v>
      </c>
    </row>
    <row r="128" spans="1:8" x14ac:dyDescent="0.25">
      <c r="A128" s="31"/>
      <c r="B128" s="31" t="s">
        <v>447</v>
      </c>
      <c r="C128" s="36" t="s">
        <v>330</v>
      </c>
      <c r="D128" s="31" t="s">
        <v>472</v>
      </c>
      <c r="E128" s="31" t="s">
        <v>348</v>
      </c>
      <c r="F128" s="31" t="s">
        <v>288</v>
      </c>
      <c r="G128" s="31" t="s">
        <v>349</v>
      </c>
      <c r="H128" s="34" t="str">
        <f t="shared" si="1"/>
        <v>A45 - JARDINEROS PUNTO</v>
      </c>
    </row>
    <row r="129" spans="1:8" x14ac:dyDescent="0.25">
      <c r="A129" s="31"/>
      <c r="B129" s="31" t="s">
        <v>447</v>
      </c>
      <c r="C129" s="36" t="s">
        <v>330</v>
      </c>
      <c r="D129" s="31" t="s">
        <v>473</v>
      </c>
      <c r="E129" s="31" t="s">
        <v>348</v>
      </c>
      <c r="F129" s="31" t="s">
        <v>315</v>
      </c>
      <c r="G129" s="31" t="s">
        <v>351</v>
      </c>
      <c r="H129" s="34" t="str">
        <f t="shared" si="1"/>
        <v>A46 - JARDINEROS PLANO</v>
      </c>
    </row>
    <row r="130" spans="1:8" x14ac:dyDescent="0.25">
      <c r="A130" s="31"/>
      <c r="B130" s="31" t="s">
        <v>447</v>
      </c>
      <c r="C130" s="36" t="s">
        <v>330</v>
      </c>
      <c r="D130" s="31" t="s">
        <v>474</v>
      </c>
      <c r="E130" s="31" t="s">
        <v>348</v>
      </c>
      <c r="F130" s="31" t="s">
        <v>315</v>
      </c>
      <c r="G130" s="31" t="s">
        <v>353</v>
      </c>
      <c r="H130" s="34" t="str">
        <f t="shared" si="1"/>
        <v>A47 - JARDINEROS DENIM</v>
      </c>
    </row>
    <row r="131" spans="1:8" x14ac:dyDescent="0.25">
      <c r="A131" s="31"/>
      <c r="B131" s="31" t="s">
        <v>447</v>
      </c>
      <c r="C131" s="36" t="s">
        <v>330</v>
      </c>
      <c r="D131" s="31" t="s">
        <v>475</v>
      </c>
      <c r="E131" s="31" t="s">
        <v>355</v>
      </c>
      <c r="F131" s="31" t="s">
        <v>315</v>
      </c>
      <c r="G131" s="31" t="s">
        <v>356</v>
      </c>
      <c r="H131" s="34" t="str">
        <f t="shared" ref="H131:H194" si="2">IF(G131="","",CONCATENATE(D131&amp;" - ",G131))</f>
        <v>A50 - CAMPERAS ABRIGO GUATA</v>
      </c>
    </row>
    <row r="132" spans="1:8" x14ac:dyDescent="0.25">
      <c r="A132" s="31"/>
      <c r="B132" s="31" t="s">
        <v>447</v>
      </c>
      <c r="C132" s="36" t="s">
        <v>330</v>
      </c>
      <c r="D132" s="31" t="s">
        <v>476</v>
      </c>
      <c r="E132" s="31" t="s">
        <v>358</v>
      </c>
      <c r="F132" s="31" t="s">
        <v>315</v>
      </c>
      <c r="G132" s="31" t="s">
        <v>359</v>
      </c>
      <c r="H132" s="34" t="str">
        <f t="shared" si="2"/>
        <v>A52 - TAPADITO, CAMPERITA PLANO OTROS</v>
      </c>
    </row>
    <row r="133" spans="1:8" x14ac:dyDescent="0.25">
      <c r="A133" s="31"/>
      <c r="B133" s="31" t="s">
        <v>447</v>
      </c>
      <c r="C133" s="36" t="s">
        <v>330</v>
      </c>
      <c r="D133" s="31" t="s">
        <v>477</v>
      </c>
      <c r="E133" s="31" t="s">
        <v>361</v>
      </c>
      <c r="F133" s="31" t="s">
        <v>288</v>
      </c>
      <c r="G133" s="31" t="s">
        <v>362</v>
      </c>
      <c r="H133" s="34" t="str">
        <f t="shared" si="2"/>
        <v>A55 - BABEROS</v>
      </c>
    </row>
    <row r="134" spans="1:8" x14ac:dyDescent="0.25">
      <c r="A134" s="31"/>
      <c r="B134" s="31" t="s">
        <v>447</v>
      </c>
      <c r="C134" s="36" t="s">
        <v>330</v>
      </c>
      <c r="D134" s="31" t="s">
        <v>478</v>
      </c>
      <c r="E134" s="31" t="s">
        <v>361</v>
      </c>
      <c r="F134" s="31" t="s">
        <v>288</v>
      </c>
      <c r="G134" s="31" t="s">
        <v>364</v>
      </c>
      <c r="H134" s="34" t="str">
        <f t="shared" si="2"/>
        <v>A56 - BABITAS</v>
      </c>
    </row>
    <row r="135" spans="1:8" x14ac:dyDescent="0.25">
      <c r="A135" s="31"/>
      <c r="B135" s="31" t="s">
        <v>447</v>
      </c>
      <c r="C135" s="36" t="s">
        <v>330</v>
      </c>
      <c r="D135" s="31" t="s">
        <v>479</v>
      </c>
      <c r="E135" s="31" t="s">
        <v>366</v>
      </c>
      <c r="F135" s="31" t="s">
        <v>315</v>
      </c>
      <c r="G135" s="31" t="s">
        <v>367</v>
      </c>
      <c r="H135" s="34" t="str">
        <f t="shared" si="2"/>
        <v>A60 - TOALLONES</v>
      </c>
    </row>
    <row r="136" spans="1:8" x14ac:dyDescent="0.25">
      <c r="A136" s="31"/>
      <c r="B136" s="31" t="s">
        <v>447</v>
      </c>
      <c r="C136" s="36" t="s">
        <v>330</v>
      </c>
      <c r="D136" s="31" t="s">
        <v>480</v>
      </c>
      <c r="E136" s="31" t="s">
        <v>366</v>
      </c>
      <c r="F136" s="31" t="s">
        <v>315</v>
      </c>
      <c r="G136" s="31" t="s">
        <v>369</v>
      </c>
      <c r="H136" s="34" t="str">
        <f t="shared" si="2"/>
        <v>A61 - BATAS</v>
      </c>
    </row>
    <row r="137" spans="1:8" x14ac:dyDescent="0.25">
      <c r="A137" s="31"/>
      <c r="B137" s="31" t="s">
        <v>447</v>
      </c>
      <c r="C137" s="36" t="s">
        <v>330</v>
      </c>
      <c r="D137" s="31" t="s">
        <v>481</v>
      </c>
      <c r="E137" s="31" t="s">
        <v>371</v>
      </c>
      <c r="F137" s="31" t="s">
        <v>288</v>
      </c>
      <c r="G137" s="31" t="s">
        <v>372</v>
      </c>
      <c r="H137" s="34" t="str">
        <f t="shared" si="2"/>
        <v>A62 - MANTAS</v>
      </c>
    </row>
    <row r="138" spans="1:8" x14ac:dyDescent="0.25">
      <c r="A138" s="31"/>
      <c r="B138" s="31" t="s">
        <v>447</v>
      </c>
      <c r="C138" s="36" t="s">
        <v>330</v>
      </c>
      <c r="D138" s="31" t="s">
        <v>482</v>
      </c>
      <c r="E138" s="31" t="s">
        <v>374</v>
      </c>
      <c r="F138" s="31" t="s">
        <v>288</v>
      </c>
      <c r="G138" s="31" t="s">
        <v>375</v>
      </c>
      <c r="H138" s="34" t="str">
        <f t="shared" si="2"/>
        <v>A65 - TRAJES DE BAÑO LYCRA</v>
      </c>
    </row>
    <row r="139" spans="1:8" x14ac:dyDescent="0.25">
      <c r="A139" s="31"/>
      <c r="B139" s="31" t="s">
        <v>447</v>
      </c>
      <c r="C139" s="36" t="s">
        <v>330</v>
      </c>
      <c r="D139" s="31" t="s">
        <v>483</v>
      </c>
      <c r="E139" s="31" t="s">
        <v>374</v>
      </c>
      <c r="F139" s="31" t="s">
        <v>315</v>
      </c>
      <c r="G139" s="31" t="s">
        <v>377</v>
      </c>
      <c r="H139" s="34" t="str">
        <f t="shared" si="2"/>
        <v>A66 - TRAJES DE BAÑO PLANO</v>
      </c>
    </row>
    <row r="140" spans="1:8" x14ac:dyDescent="0.25">
      <c r="A140" s="31"/>
      <c r="B140" s="31" t="s">
        <v>447</v>
      </c>
      <c r="C140" s="36" t="s">
        <v>330</v>
      </c>
      <c r="D140" s="31" t="s">
        <v>484</v>
      </c>
      <c r="E140" s="31" t="s">
        <v>379</v>
      </c>
      <c r="F140" s="31" t="s">
        <v>288</v>
      </c>
      <c r="G140" s="31" t="s">
        <v>380</v>
      </c>
      <c r="H140" s="34" t="str">
        <f t="shared" si="2"/>
        <v>A90 - ACCESORIOS</v>
      </c>
    </row>
    <row r="141" spans="1:8" x14ac:dyDescent="0.25">
      <c r="A141" s="31"/>
      <c r="B141" s="31"/>
      <c r="C141" s="31"/>
      <c r="D141" s="31"/>
      <c r="E141" s="31"/>
      <c r="F141" s="31"/>
      <c r="G141" s="31"/>
      <c r="H141" s="34" t="str">
        <f t="shared" si="2"/>
        <v/>
      </c>
    </row>
    <row r="142" spans="1:8" x14ac:dyDescent="0.25">
      <c r="A142" s="31">
        <v>0</v>
      </c>
      <c r="B142" s="31" t="s">
        <v>447</v>
      </c>
      <c r="C142" s="36" t="s">
        <v>374</v>
      </c>
      <c r="D142" s="31" t="s">
        <v>485</v>
      </c>
      <c r="E142" s="31" t="s">
        <v>287</v>
      </c>
      <c r="F142" s="31" t="s">
        <v>288</v>
      </c>
      <c r="G142" s="31" t="s">
        <v>289</v>
      </c>
      <c r="H142" s="34" t="str">
        <f t="shared" si="2"/>
        <v>B01 - MONOS LIVIANOS</v>
      </c>
    </row>
    <row r="143" spans="1:8" x14ac:dyDescent="0.25">
      <c r="A143" s="31" t="s">
        <v>12</v>
      </c>
      <c r="B143" s="31" t="s">
        <v>447</v>
      </c>
      <c r="C143" s="36" t="s">
        <v>374</v>
      </c>
      <c r="D143" s="31" t="s">
        <v>486</v>
      </c>
      <c r="E143" s="31" t="s">
        <v>287</v>
      </c>
      <c r="F143" s="31" t="s">
        <v>288</v>
      </c>
      <c r="G143" s="31" t="s">
        <v>291</v>
      </c>
      <c r="H143" s="34" t="str">
        <f t="shared" si="2"/>
        <v>B05 - MONOS ABRIGO</v>
      </c>
    </row>
    <row r="144" spans="1:8" x14ac:dyDescent="0.25">
      <c r="A144" s="31" t="s">
        <v>450</v>
      </c>
      <c r="B144" s="31" t="s">
        <v>447</v>
      </c>
      <c r="C144" s="36" t="s">
        <v>374</v>
      </c>
      <c r="D144" s="31" t="s">
        <v>487</v>
      </c>
      <c r="E144" s="31" t="s">
        <v>293</v>
      </c>
      <c r="F144" s="31" t="s">
        <v>288</v>
      </c>
      <c r="G144" s="31" t="s">
        <v>294</v>
      </c>
      <c r="H144" s="34" t="str">
        <f t="shared" si="2"/>
        <v>B10 - PAÑALEROS</v>
      </c>
    </row>
    <row r="145" spans="1:8" x14ac:dyDescent="0.25">
      <c r="A145" s="31"/>
      <c r="B145" s="31" t="s">
        <v>447</v>
      </c>
      <c r="C145" s="36" t="s">
        <v>374</v>
      </c>
      <c r="D145" s="31" t="s">
        <v>488</v>
      </c>
      <c r="E145" s="31" t="s">
        <v>296</v>
      </c>
      <c r="F145" s="31" t="s">
        <v>288</v>
      </c>
      <c r="G145" s="31" t="s">
        <v>297</v>
      </c>
      <c r="H145" s="34" t="str">
        <f t="shared" si="2"/>
        <v>B11 - REMERAS</v>
      </c>
    </row>
    <row r="146" spans="1:8" x14ac:dyDescent="0.25">
      <c r="A146" s="36" t="s">
        <v>609</v>
      </c>
      <c r="B146" s="31" t="s">
        <v>447</v>
      </c>
      <c r="C146" s="36" t="s">
        <v>374</v>
      </c>
      <c r="D146" s="31" t="s">
        <v>489</v>
      </c>
      <c r="E146" s="31" t="s">
        <v>299</v>
      </c>
      <c r="F146" s="31" t="s">
        <v>300</v>
      </c>
      <c r="G146" s="31" t="s">
        <v>301</v>
      </c>
      <c r="H146" s="34" t="str">
        <f t="shared" si="2"/>
        <v>B12 - CAMISAS Y CHOMBAS</v>
      </c>
    </row>
    <row r="147" spans="1:8" x14ac:dyDescent="0.25">
      <c r="A147" s="31"/>
      <c r="B147" s="31" t="s">
        <v>447</v>
      </c>
      <c r="C147" s="36" t="s">
        <v>374</v>
      </c>
      <c r="D147" s="31" t="s">
        <v>490</v>
      </c>
      <c r="E147" s="31" t="s">
        <v>299</v>
      </c>
      <c r="F147" s="31" t="s">
        <v>300</v>
      </c>
      <c r="G147" s="31" t="s">
        <v>303</v>
      </c>
      <c r="H147" s="34" t="str">
        <f t="shared" si="2"/>
        <v>B13 - PAÑALEROS CAMISA Y CHOMBA</v>
      </c>
    </row>
    <row r="148" spans="1:8" x14ac:dyDescent="0.25">
      <c r="A148" s="31"/>
      <c r="B148" s="31" t="s">
        <v>447</v>
      </c>
      <c r="C148" s="36" t="s">
        <v>374</v>
      </c>
      <c r="D148" s="31" t="s">
        <v>491</v>
      </c>
      <c r="E148" s="31" t="s">
        <v>305</v>
      </c>
      <c r="F148" s="31" t="s">
        <v>288</v>
      </c>
      <c r="G148" s="31" t="s">
        <v>306</v>
      </c>
      <c r="H148" s="34" t="str">
        <f t="shared" si="2"/>
        <v>B15 - CONJUNTO PANTALON Y CANGURO/ SAQUITO</v>
      </c>
    </row>
    <row r="149" spans="1:8" x14ac:dyDescent="0.25">
      <c r="A149" s="31"/>
      <c r="B149" s="31" t="s">
        <v>447</v>
      </c>
      <c r="C149" s="36" t="s">
        <v>374</v>
      </c>
      <c r="D149" s="31" t="s">
        <v>492</v>
      </c>
      <c r="E149" s="31" t="s">
        <v>224</v>
      </c>
      <c r="F149" s="31" t="s">
        <v>288</v>
      </c>
      <c r="G149" s="31" t="s">
        <v>308</v>
      </c>
      <c r="H149" s="34" t="str">
        <f t="shared" si="2"/>
        <v>B20 - CONJUNTO BATITA Y RANITA</v>
      </c>
    </row>
    <row r="150" spans="1:8" x14ac:dyDescent="0.25">
      <c r="A150" s="31"/>
      <c r="B150" s="31" t="s">
        <v>447</v>
      </c>
      <c r="C150" s="36" t="s">
        <v>374</v>
      </c>
      <c r="D150" s="31" t="s">
        <v>493</v>
      </c>
      <c r="E150" s="31" t="s">
        <v>224</v>
      </c>
      <c r="F150" s="31" t="s">
        <v>288</v>
      </c>
      <c r="G150" s="31" t="s">
        <v>310</v>
      </c>
      <c r="H150" s="34" t="str">
        <f t="shared" si="2"/>
        <v>B21 - AJUAR, VARIAS PRENDAS</v>
      </c>
    </row>
    <row r="151" spans="1:8" x14ac:dyDescent="0.25">
      <c r="A151" s="31"/>
      <c r="B151" s="31" t="s">
        <v>447</v>
      </c>
      <c r="C151" s="36" t="s">
        <v>374</v>
      </c>
      <c r="D151" s="31" t="s">
        <v>272</v>
      </c>
      <c r="E151" s="31" t="s">
        <v>312</v>
      </c>
      <c r="F151" s="31" t="s">
        <v>288</v>
      </c>
      <c r="G151" s="31" t="s">
        <v>313</v>
      </c>
      <c r="H151" s="34" t="str">
        <f t="shared" si="2"/>
        <v>B25 - BERMUDAS Y SHORTS PUNTO</v>
      </c>
    </row>
    <row r="152" spans="1:8" x14ac:dyDescent="0.25">
      <c r="A152" s="31"/>
      <c r="B152" s="31" t="s">
        <v>447</v>
      </c>
      <c r="C152" s="36" t="s">
        <v>374</v>
      </c>
      <c r="D152" s="31" t="s">
        <v>494</v>
      </c>
      <c r="E152" s="31" t="s">
        <v>312</v>
      </c>
      <c r="F152" s="31" t="s">
        <v>315</v>
      </c>
      <c r="G152" s="31" t="s">
        <v>316</v>
      </c>
      <c r="H152" s="34" t="str">
        <f t="shared" si="2"/>
        <v>B31 - BERMUDAS Y SHORTS PLANO</v>
      </c>
    </row>
    <row r="153" spans="1:8" x14ac:dyDescent="0.25">
      <c r="A153" s="31"/>
      <c r="B153" s="31" t="s">
        <v>447</v>
      </c>
      <c r="C153" s="36" t="s">
        <v>374</v>
      </c>
      <c r="D153" s="31" t="s">
        <v>273</v>
      </c>
      <c r="E153" s="31" t="s">
        <v>312</v>
      </c>
      <c r="F153" s="31" t="s">
        <v>315</v>
      </c>
      <c r="G153" s="31" t="s">
        <v>318</v>
      </c>
      <c r="H153" s="34" t="str">
        <f t="shared" si="2"/>
        <v>B27 - BERMUDAS Y SHORTS DENIM</v>
      </c>
    </row>
    <row r="154" spans="1:8" x14ac:dyDescent="0.25">
      <c r="A154" s="31"/>
      <c r="B154" s="31" t="s">
        <v>447</v>
      </c>
      <c r="C154" s="36" t="s">
        <v>374</v>
      </c>
      <c r="D154" s="31" t="s">
        <v>274</v>
      </c>
      <c r="E154" s="31" t="s">
        <v>320</v>
      </c>
      <c r="F154" s="31" t="s">
        <v>315</v>
      </c>
      <c r="G154" s="31" t="s">
        <v>321</v>
      </c>
      <c r="H154" s="34" t="str">
        <f t="shared" si="2"/>
        <v>B29 - PANTALON RANITA PLANO</v>
      </c>
    </row>
    <row r="155" spans="1:8" x14ac:dyDescent="0.25">
      <c r="A155" s="31"/>
      <c r="B155" s="31" t="s">
        <v>447</v>
      </c>
      <c r="C155" s="36" t="s">
        <v>374</v>
      </c>
      <c r="D155" s="31" t="s">
        <v>495</v>
      </c>
      <c r="E155" s="31" t="s">
        <v>320</v>
      </c>
      <c r="F155" s="31" t="s">
        <v>288</v>
      </c>
      <c r="G155" s="31" t="s">
        <v>323</v>
      </c>
      <c r="H155" s="34" t="str">
        <f t="shared" si="2"/>
        <v>B30 - PANTALON RANITA PUNTO</v>
      </c>
    </row>
    <row r="156" spans="1:8" x14ac:dyDescent="0.25">
      <c r="A156" s="31"/>
      <c r="B156" s="31" t="s">
        <v>447</v>
      </c>
      <c r="C156" s="36" t="s">
        <v>374</v>
      </c>
      <c r="D156" s="31" t="s">
        <v>496</v>
      </c>
      <c r="E156" s="31" t="s">
        <v>320</v>
      </c>
      <c r="F156" s="31" t="s">
        <v>315</v>
      </c>
      <c r="G156" s="31" t="s">
        <v>325</v>
      </c>
      <c r="H156" s="34" t="str">
        <f t="shared" si="2"/>
        <v>B32 - PANTALON RANITADENIM</v>
      </c>
    </row>
    <row r="157" spans="1:8" x14ac:dyDescent="0.25">
      <c r="A157" s="31"/>
      <c r="B157" s="31" t="s">
        <v>447</v>
      </c>
      <c r="C157" s="36" t="s">
        <v>374</v>
      </c>
      <c r="D157" s="31" t="s">
        <v>497</v>
      </c>
      <c r="E157" s="31" t="s">
        <v>327</v>
      </c>
      <c r="F157" s="31" t="s">
        <v>288</v>
      </c>
      <c r="G157" s="31" t="s">
        <v>328</v>
      </c>
      <c r="H157" s="34" t="str">
        <f t="shared" si="2"/>
        <v>B33 - CALCITAS</v>
      </c>
    </row>
    <row r="158" spans="1:8" x14ac:dyDescent="0.25">
      <c r="A158" s="31"/>
      <c r="B158" s="31" t="s">
        <v>447</v>
      </c>
      <c r="C158" s="36" t="s">
        <v>374</v>
      </c>
      <c r="D158" s="31" t="s">
        <v>498</v>
      </c>
      <c r="E158" s="31" t="s">
        <v>330</v>
      </c>
      <c r="F158" s="31" t="s">
        <v>315</v>
      </c>
      <c r="G158" s="31" t="s">
        <v>331</v>
      </c>
      <c r="H158" s="34" t="str">
        <f t="shared" si="2"/>
        <v>B35 - VESTIDOS PLANO</v>
      </c>
    </row>
    <row r="159" spans="1:8" x14ac:dyDescent="0.25">
      <c r="A159" s="31"/>
      <c r="B159" s="31" t="s">
        <v>447</v>
      </c>
      <c r="C159" s="36" t="s">
        <v>374</v>
      </c>
      <c r="D159" s="31" t="s">
        <v>499</v>
      </c>
      <c r="E159" s="31" t="s">
        <v>330</v>
      </c>
      <c r="F159" s="31" t="s">
        <v>288</v>
      </c>
      <c r="G159" s="31" t="s">
        <v>333</v>
      </c>
      <c r="H159" s="34" t="str">
        <f t="shared" si="2"/>
        <v>B36 - VESTIDOS PUNTO</v>
      </c>
    </row>
    <row r="160" spans="1:8" x14ac:dyDescent="0.25">
      <c r="A160" s="31"/>
      <c r="B160" s="31" t="s">
        <v>447</v>
      </c>
      <c r="C160" s="36" t="s">
        <v>374</v>
      </c>
      <c r="D160" s="31" t="s">
        <v>500</v>
      </c>
      <c r="E160" s="31" t="s">
        <v>335</v>
      </c>
      <c r="F160" s="31" t="s">
        <v>336</v>
      </c>
      <c r="G160" s="31" t="s">
        <v>468</v>
      </c>
      <c r="H160" s="34" t="str">
        <f t="shared" si="2"/>
        <v>B37 - POLLERITAS, BOMBACHONES</v>
      </c>
    </row>
    <row r="161" spans="1:8" x14ac:dyDescent="0.25">
      <c r="A161" s="31"/>
      <c r="B161" s="31" t="s">
        <v>447</v>
      </c>
      <c r="C161" s="36" t="s">
        <v>374</v>
      </c>
      <c r="D161" s="31" t="s">
        <v>501</v>
      </c>
      <c r="E161" s="31" t="s">
        <v>339</v>
      </c>
      <c r="F161" s="31" t="s">
        <v>288</v>
      </c>
      <c r="G161" s="31" t="s">
        <v>340</v>
      </c>
      <c r="H161" s="34" t="str">
        <f t="shared" si="2"/>
        <v>B42 - BUZOS</v>
      </c>
    </row>
    <row r="162" spans="1:8" x14ac:dyDescent="0.25">
      <c r="A162" s="31"/>
      <c r="B162" s="31" t="s">
        <v>447</v>
      </c>
      <c r="C162" s="36" t="s">
        <v>374</v>
      </c>
      <c r="D162" s="31" t="s">
        <v>502</v>
      </c>
      <c r="E162" s="31" t="s">
        <v>339</v>
      </c>
      <c r="F162" s="31" t="s">
        <v>288</v>
      </c>
      <c r="G162" s="31" t="s">
        <v>342</v>
      </c>
      <c r="H162" s="34" t="str">
        <f t="shared" si="2"/>
        <v>B40 - SAQUITOS Y CANGUROS PUNTO</v>
      </c>
    </row>
    <row r="163" spans="1:8" x14ac:dyDescent="0.25">
      <c r="A163" s="31"/>
      <c r="B163" s="31" t="s">
        <v>447</v>
      </c>
      <c r="C163" s="36" t="s">
        <v>374</v>
      </c>
      <c r="D163" s="31" t="s">
        <v>503</v>
      </c>
      <c r="E163" s="31" t="s">
        <v>344</v>
      </c>
      <c r="F163" s="31" t="s">
        <v>345</v>
      </c>
      <c r="G163" s="31" t="s">
        <v>346</v>
      </c>
      <c r="H163" s="34" t="str">
        <f t="shared" si="2"/>
        <v>B51 - SAQUITOS TEJIDOS</v>
      </c>
    </row>
    <row r="164" spans="1:8" x14ac:dyDescent="0.25">
      <c r="A164" s="31"/>
      <c r="B164" s="31" t="s">
        <v>447</v>
      </c>
      <c r="C164" s="36" t="s">
        <v>374</v>
      </c>
      <c r="D164" s="31" t="s">
        <v>504</v>
      </c>
      <c r="E164" s="31" t="s">
        <v>348</v>
      </c>
      <c r="F164" s="31" t="s">
        <v>288</v>
      </c>
      <c r="G164" s="31" t="s">
        <v>349</v>
      </c>
      <c r="H164" s="34" t="str">
        <f t="shared" si="2"/>
        <v>B45 - JARDINEROS PUNTO</v>
      </c>
    </row>
    <row r="165" spans="1:8" x14ac:dyDescent="0.25">
      <c r="A165" s="31"/>
      <c r="B165" s="31" t="s">
        <v>447</v>
      </c>
      <c r="C165" s="36" t="s">
        <v>374</v>
      </c>
      <c r="D165" s="31" t="s">
        <v>505</v>
      </c>
      <c r="E165" s="31" t="s">
        <v>348</v>
      </c>
      <c r="F165" s="31" t="s">
        <v>315</v>
      </c>
      <c r="G165" s="31" t="s">
        <v>351</v>
      </c>
      <c r="H165" s="34" t="str">
        <f t="shared" si="2"/>
        <v>B46 - JARDINEROS PLANO</v>
      </c>
    </row>
    <row r="166" spans="1:8" x14ac:dyDescent="0.25">
      <c r="A166" s="31"/>
      <c r="B166" s="31" t="s">
        <v>447</v>
      </c>
      <c r="C166" s="36" t="s">
        <v>374</v>
      </c>
      <c r="D166" s="31" t="s">
        <v>506</v>
      </c>
      <c r="E166" s="31" t="s">
        <v>348</v>
      </c>
      <c r="F166" s="31" t="s">
        <v>315</v>
      </c>
      <c r="G166" s="31" t="s">
        <v>353</v>
      </c>
      <c r="H166" s="34" t="str">
        <f t="shared" si="2"/>
        <v>B47 - JARDINEROS DENIM</v>
      </c>
    </row>
    <row r="167" spans="1:8" x14ac:dyDescent="0.25">
      <c r="A167" s="31"/>
      <c r="B167" s="31" t="s">
        <v>447</v>
      </c>
      <c r="C167" s="36" t="s">
        <v>374</v>
      </c>
      <c r="D167" s="31" t="s">
        <v>507</v>
      </c>
      <c r="E167" s="31" t="s">
        <v>355</v>
      </c>
      <c r="F167" s="31" t="s">
        <v>315</v>
      </c>
      <c r="G167" s="31" t="s">
        <v>356</v>
      </c>
      <c r="H167" s="34" t="str">
        <f t="shared" si="2"/>
        <v>B50 - CAMPERAS ABRIGO GUATA</v>
      </c>
    </row>
    <row r="168" spans="1:8" x14ac:dyDescent="0.25">
      <c r="A168" s="31"/>
      <c r="B168" s="31" t="s">
        <v>447</v>
      </c>
      <c r="C168" s="36" t="s">
        <v>374</v>
      </c>
      <c r="D168" s="31" t="s">
        <v>508</v>
      </c>
      <c r="E168" s="31" t="s">
        <v>358</v>
      </c>
      <c r="F168" s="31" t="s">
        <v>315</v>
      </c>
      <c r="G168" s="31" t="s">
        <v>359</v>
      </c>
      <c r="H168" s="34" t="str">
        <f t="shared" si="2"/>
        <v>B52 - TAPADITO, CAMPERITA PLANO OTROS</v>
      </c>
    </row>
    <row r="169" spans="1:8" x14ac:dyDescent="0.25">
      <c r="A169" s="31"/>
      <c r="B169" s="31" t="s">
        <v>447</v>
      </c>
      <c r="C169" s="36" t="s">
        <v>374</v>
      </c>
      <c r="D169" s="31" t="s">
        <v>509</v>
      </c>
      <c r="E169" s="31" t="s">
        <v>361</v>
      </c>
      <c r="F169" s="31" t="s">
        <v>288</v>
      </c>
      <c r="G169" s="31" t="s">
        <v>362</v>
      </c>
      <c r="H169" s="34" t="str">
        <f t="shared" si="2"/>
        <v>B55 - BABEROS</v>
      </c>
    </row>
    <row r="170" spans="1:8" x14ac:dyDescent="0.25">
      <c r="A170" s="31"/>
      <c r="B170" s="31" t="s">
        <v>447</v>
      </c>
      <c r="C170" s="36" t="s">
        <v>374</v>
      </c>
      <c r="D170" s="31" t="s">
        <v>510</v>
      </c>
      <c r="E170" s="31" t="s">
        <v>361</v>
      </c>
      <c r="F170" s="31" t="s">
        <v>288</v>
      </c>
      <c r="G170" s="31" t="s">
        <v>364</v>
      </c>
      <c r="H170" s="34" t="str">
        <f t="shared" si="2"/>
        <v>B56 - BABITAS</v>
      </c>
    </row>
    <row r="171" spans="1:8" x14ac:dyDescent="0.25">
      <c r="A171" s="31"/>
      <c r="B171" s="31" t="s">
        <v>447</v>
      </c>
      <c r="C171" s="36" t="s">
        <v>374</v>
      </c>
      <c r="D171" s="31" t="s">
        <v>511</v>
      </c>
      <c r="E171" s="31" t="s">
        <v>366</v>
      </c>
      <c r="F171" s="31" t="s">
        <v>315</v>
      </c>
      <c r="G171" s="31" t="s">
        <v>367</v>
      </c>
      <c r="H171" s="34" t="str">
        <f t="shared" si="2"/>
        <v>B60 - TOALLONES</v>
      </c>
    </row>
    <row r="172" spans="1:8" x14ac:dyDescent="0.25">
      <c r="A172" s="31"/>
      <c r="B172" s="31" t="s">
        <v>447</v>
      </c>
      <c r="C172" s="36" t="s">
        <v>374</v>
      </c>
      <c r="D172" s="31" t="s">
        <v>512</v>
      </c>
      <c r="E172" s="31" t="s">
        <v>366</v>
      </c>
      <c r="F172" s="31" t="s">
        <v>315</v>
      </c>
      <c r="G172" s="31" t="s">
        <v>369</v>
      </c>
      <c r="H172" s="34" t="str">
        <f t="shared" si="2"/>
        <v>B61 - BATAS</v>
      </c>
    </row>
    <row r="173" spans="1:8" x14ac:dyDescent="0.25">
      <c r="A173" s="31"/>
      <c r="B173" s="31" t="s">
        <v>447</v>
      </c>
      <c r="C173" s="36" t="s">
        <v>374</v>
      </c>
      <c r="D173" s="31" t="s">
        <v>513</v>
      </c>
      <c r="E173" s="31" t="s">
        <v>371</v>
      </c>
      <c r="F173" s="31" t="s">
        <v>288</v>
      </c>
      <c r="G173" s="31" t="s">
        <v>372</v>
      </c>
      <c r="H173" s="34" t="str">
        <f t="shared" si="2"/>
        <v>B62 - MANTAS</v>
      </c>
    </row>
    <row r="174" spans="1:8" x14ac:dyDescent="0.25">
      <c r="A174" s="31"/>
      <c r="B174" s="31" t="s">
        <v>447</v>
      </c>
      <c r="C174" s="36" t="s">
        <v>374</v>
      </c>
      <c r="D174" s="31" t="s">
        <v>514</v>
      </c>
      <c r="E174" s="31" t="s">
        <v>374</v>
      </c>
      <c r="F174" s="31" t="s">
        <v>288</v>
      </c>
      <c r="G174" s="31" t="s">
        <v>375</v>
      </c>
      <c r="H174" s="34" t="str">
        <f t="shared" si="2"/>
        <v>B65 - TRAJES DE BAÑO LYCRA</v>
      </c>
    </row>
    <row r="175" spans="1:8" x14ac:dyDescent="0.25">
      <c r="A175" s="31"/>
      <c r="B175" s="31" t="s">
        <v>447</v>
      </c>
      <c r="C175" s="36" t="s">
        <v>374</v>
      </c>
      <c r="D175" s="31" t="s">
        <v>515</v>
      </c>
      <c r="E175" s="31" t="s">
        <v>374</v>
      </c>
      <c r="F175" s="31" t="s">
        <v>315</v>
      </c>
      <c r="G175" s="31" t="s">
        <v>377</v>
      </c>
      <c r="H175" s="34" t="str">
        <f t="shared" si="2"/>
        <v>B66 - TRAJES DE BAÑO PLANO</v>
      </c>
    </row>
    <row r="176" spans="1:8" x14ac:dyDescent="0.25">
      <c r="A176" s="31"/>
      <c r="B176" s="31" t="s">
        <v>447</v>
      </c>
      <c r="C176" s="36" t="s">
        <v>374</v>
      </c>
      <c r="D176" s="31" t="s">
        <v>516</v>
      </c>
      <c r="E176" s="31" t="s">
        <v>379</v>
      </c>
      <c r="F176" s="31" t="s">
        <v>288</v>
      </c>
      <c r="G176" s="31" t="s">
        <v>380</v>
      </c>
      <c r="H176" s="34" t="str">
        <f t="shared" si="2"/>
        <v>B90 - ACCESORIOS</v>
      </c>
    </row>
    <row r="177" spans="1:8" x14ac:dyDescent="0.25">
      <c r="A177" s="31"/>
      <c r="B177" s="31"/>
      <c r="C177" s="31"/>
      <c r="D177" s="31"/>
      <c r="E177" s="31"/>
      <c r="F177" s="31"/>
      <c r="G177" s="31"/>
      <c r="H177" s="34" t="str">
        <f t="shared" si="2"/>
        <v/>
      </c>
    </row>
    <row r="178" spans="1:8" x14ac:dyDescent="0.25">
      <c r="A178" s="31"/>
      <c r="B178" s="31"/>
      <c r="C178" s="31"/>
      <c r="D178" s="31"/>
      <c r="E178" s="31"/>
      <c r="F178" s="31"/>
      <c r="G178" s="31"/>
      <c r="H178" s="34" t="str">
        <f t="shared" si="2"/>
        <v/>
      </c>
    </row>
    <row r="179" spans="1:8" x14ac:dyDescent="0.25">
      <c r="A179" s="31" t="s">
        <v>517</v>
      </c>
      <c r="B179" s="31" t="s">
        <v>695</v>
      </c>
      <c r="C179" s="31"/>
      <c r="D179" s="31">
        <v>90</v>
      </c>
      <c r="E179" s="31" t="s">
        <v>361</v>
      </c>
      <c r="F179" s="33" t="s">
        <v>288</v>
      </c>
      <c r="G179" s="31" t="s">
        <v>518</v>
      </c>
      <c r="H179" s="34" t="str">
        <f t="shared" si="2"/>
        <v>90 - baberos</v>
      </c>
    </row>
    <row r="180" spans="1:8" x14ac:dyDescent="0.25">
      <c r="A180" s="31" t="s">
        <v>12</v>
      </c>
      <c r="B180" s="31" t="s">
        <v>695</v>
      </c>
      <c r="C180" s="31"/>
      <c r="D180" s="31">
        <v>95</v>
      </c>
      <c r="E180" s="31" t="s">
        <v>287</v>
      </c>
      <c r="F180" s="33" t="s">
        <v>288</v>
      </c>
      <c r="G180" s="31" t="s">
        <v>519</v>
      </c>
      <c r="H180" s="34" t="str">
        <f t="shared" si="2"/>
        <v>95 - monos</v>
      </c>
    </row>
    <row r="181" spans="1:8" x14ac:dyDescent="0.25">
      <c r="A181" s="31" t="s">
        <v>450</v>
      </c>
      <c r="B181" s="31" t="s">
        <v>695</v>
      </c>
      <c r="C181" s="31"/>
      <c r="D181" s="31">
        <v>96</v>
      </c>
      <c r="E181" s="31" t="s">
        <v>293</v>
      </c>
      <c r="F181" s="33" t="s">
        <v>288</v>
      </c>
      <c r="G181" s="31" t="s">
        <v>520</v>
      </c>
      <c r="H181" s="34" t="str">
        <f t="shared" si="2"/>
        <v>96 - pañaleros</v>
      </c>
    </row>
    <row r="182" spans="1:8" x14ac:dyDescent="0.25">
      <c r="A182" s="31"/>
      <c r="B182" s="31" t="s">
        <v>695</v>
      </c>
      <c r="C182" s="31"/>
      <c r="D182" s="31">
        <v>105</v>
      </c>
      <c r="E182" s="31" t="s">
        <v>299</v>
      </c>
      <c r="F182" s="31" t="s">
        <v>315</v>
      </c>
      <c r="G182" s="31" t="s">
        <v>521</v>
      </c>
      <c r="H182" s="34" t="str">
        <f t="shared" si="2"/>
        <v>105 - camisas plano fantasia</v>
      </c>
    </row>
    <row r="183" spans="1:8" x14ac:dyDescent="0.25">
      <c r="A183" s="31"/>
      <c r="B183" s="31" t="s">
        <v>695</v>
      </c>
      <c r="C183" s="31"/>
      <c r="D183" s="31">
        <v>116</v>
      </c>
      <c r="E183" s="31" t="s">
        <v>299</v>
      </c>
      <c r="F183" s="31" t="s">
        <v>315</v>
      </c>
      <c r="G183" s="31" t="s">
        <v>522</v>
      </c>
      <c r="H183" s="34" t="str">
        <f t="shared" si="2"/>
        <v>116 - camisas denim</v>
      </c>
    </row>
    <row r="184" spans="1:8" x14ac:dyDescent="0.25">
      <c r="A184" s="31"/>
      <c r="B184" s="31" t="s">
        <v>695</v>
      </c>
      <c r="C184" s="31"/>
      <c r="D184" s="31">
        <v>106</v>
      </c>
      <c r="E184" s="31" t="s">
        <v>299</v>
      </c>
      <c r="F184" s="31" t="s">
        <v>288</v>
      </c>
      <c r="G184" s="31" t="s">
        <v>523</v>
      </c>
      <c r="H184" s="34" t="str">
        <f t="shared" si="2"/>
        <v>106 - chombas</v>
      </c>
    </row>
    <row r="185" spans="1:8" x14ac:dyDescent="0.25">
      <c r="A185" s="31"/>
      <c r="B185" s="31" t="s">
        <v>695</v>
      </c>
      <c r="C185" s="31"/>
      <c r="D185" s="31">
        <v>108</v>
      </c>
      <c r="E185" s="31" t="s">
        <v>296</v>
      </c>
      <c r="F185" s="31" t="s">
        <v>288</v>
      </c>
      <c r="G185" s="31" t="s">
        <v>524</v>
      </c>
      <c r="H185" s="34" t="str">
        <f t="shared" si="2"/>
        <v>108 - remeras lisas y poleras</v>
      </c>
    </row>
    <row r="186" spans="1:8" x14ac:dyDescent="0.25">
      <c r="A186" s="31"/>
      <c r="B186" s="31" t="s">
        <v>695</v>
      </c>
      <c r="C186" s="31"/>
      <c r="D186" s="31">
        <v>109</v>
      </c>
      <c r="E186" s="31" t="s">
        <v>296</v>
      </c>
      <c r="F186" s="31" t="s">
        <v>288</v>
      </c>
      <c r="G186" s="31" t="s">
        <v>525</v>
      </c>
      <c r="H186" s="34" t="str">
        <f t="shared" si="2"/>
        <v>109 - remeras con estampa</v>
      </c>
    </row>
    <row r="187" spans="1:8" x14ac:dyDescent="0.25">
      <c r="A187" s="31"/>
      <c r="B187" s="31" t="s">
        <v>695</v>
      </c>
      <c r="C187" s="31"/>
      <c r="D187" s="31">
        <v>112</v>
      </c>
      <c r="E187" s="31" t="s">
        <v>296</v>
      </c>
      <c r="F187" s="31" t="s">
        <v>288</v>
      </c>
      <c r="G187" s="31" t="s">
        <v>526</v>
      </c>
      <c r="H187" s="34" t="str">
        <f t="shared" si="2"/>
        <v xml:space="preserve">112 - remeras rayadas y estampadas </v>
      </c>
    </row>
    <row r="188" spans="1:8" x14ac:dyDescent="0.25">
      <c r="A188" s="31"/>
      <c r="B188" s="31" t="s">
        <v>695</v>
      </c>
      <c r="C188" s="31"/>
      <c r="D188" s="31">
        <v>117</v>
      </c>
      <c r="E188" s="31" t="s">
        <v>296</v>
      </c>
      <c r="F188" s="31" t="s">
        <v>288</v>
      </c>
      <c r="G188" s="31" t="s">
        <v>527</v>
      </c>
      <c r="H188" s="34" t="str">
        <f t="shared" si="2"/>
        <v>117 - musculosa con estampas</v>
      </c>
    </row>
    <row r="189" spans="1:8" x14ac:dyDescent="0.25">
      <c r="A189" s="31"/>
      <c r="B189" s="31" t="s">
        <v>695</v>
      </c>
      <c r="C189" s="31"/>
      <c r="D189" s="31">
        <v>137</v>
      </c>
      <c r="E189" s="31" t="s">
        <v>296</v>
      </c>
      <c r="F189" s="31" t="s">
        <v>288</v>
      </c>
      <c r="G189" s="31" t="s">
        <v>528</v>
      </c>
      <c r="H189" s="34" t="str">
        <f t="shared" si="2"/>
        <v>137 - musculosa rayado estampado metro</v>
      </c>
    </row>
    <row r="190" spans="1:8" x14ac:dyDescent="0.25">
      <c r="A190" s="31"/>
      <c r="B190" s="31" t="s">
        <v>695</v>
      </c>
      <c r="C190" s="31"/>
      <c r="D190" s="31">
        <v>118</v>
      </c>
      <c r="E190" s="31" t="s">
        <v>296</v>
      </c>
      <c r="F190" s="31" t="s">
        <v>288</v>
      </c>
      <c r="G190" s="31" t="s">
        <v>529</v>
      </c>
      <c r="H190" s="34" t="str">
        <f t="shared" si="2"/>
        <v>118 - remeras modelito</v>
      </c>
    </row>
    <row r="191" spans="1:8" x14ac:dyDescent="0.25">
      <c r="A191" s="31"/>
      <c r="B191" s="31" t="s">
        <v>695</v>
      </c>
      <c r="C191" s="31"/>
      <c r="D191" s="31">
        <v>126</v>
      </c>
      <c r="E191" s="31" t="s">
        <v>312</v>
      </c>
      <c r="F191" s="31" t="s">
        <v>315</v>
      </c>
      <c r="G191" s="31" t="s">
        <v>530</v>
      </c>
      <c r="H191" s="34" t="str">
        <f t="shared" si="2"/>
        <v>126 - shorts y bermudas plano otros</v>
      </c>
    </row>
    <row r="192" spans="1:8" x14ac:dyDescent="0.25">
      <c r="A192" s="31"/>
      <c r="B192" s="31" t="s">
        <v>695</v>
      </c>
      <c r="C192" s="31"/>
      <c r="D192" s="31">
        <v>127</v>
      </c>
      <c r="E192" s="31" t="s">
        <v>312</v>
      </c>
      <c r="F192" s="31" t="s">
        <v>288</v>
      </c>
      <c r="G192" s="31" t="s">
        <v>531</v>
      </c>
      <c r="H192" s="34" t="str">
        <f t="shared" si="2"/>
        <v>127 - shorts y bermuda punto liso</v>
      </c>
    </row>
    <row r="193" spans="1:8" x14ac:dyDescent="0.25">
      <c r="A193" s="31"/>
      <c r="B193" s="31" t="s">
        <v>695</v>
      </c>
      <c r="C193" s="31"/>
      <c r="D193" s="31">
        <v>135</v>
      </c>
      <c r="E193" s="31" t="s">
        <v>312</v>
      </c>
      <c r="F193" s="31" t="s">
        <v>288</v>
      </c>
      <c r="G193" s="31" t="s">
        <v>532</v>
      </c>
      <c r="H193" s="34" t="str">
        <f t="shared" si="2"/>
        <v>135 - shorts y bermuda punto estampado</v>
      </c>
    </row>
    <row r="194" spans="1:8" x14ac:dyDescent="0.25">
      <c r="A194" s="31"/>
      <c r="B194" s="31" t="s">
        <v>695</v>
      </c>
      <c r="C194" s="31"/>
      <c r="D194" s="31">
        <v>129</v>
      </c>
      <c r="E194" s="31" t="s">
        <v>312</v>
      </c>
      <c r="F194" s="31" t="s">
        <v>315</v>
      </c>
      <c r="G194" s="31" t="s">
        <v>533</v>
      </c>
      <c r="H194" s="34" t="str">
        <f t="shared" si="2"/>
        <v>129 - shorts y bermudas denim</v>
      </c>
    </row>
    <row r="195" spans="1:8" x14ac:dyDescent="0.25">
      <c r="A195" s="31"/>
      <c r="B195" s="31" t="s">
        <v>695</v>
      </c>
      <c r="C195" s="31"/>
      <c r="D195" s="31">
        <v>125</v>
      </c>
      <c r="E195" s="31" t="s">
        <v>320</v>
      </c>
      <c r="F195" s="31" t="s">
        <v>315</v>
      </c>
      <c r="G195" s="31" t="s">
        <v>534</v>
      </c>
      <c r="H195" s="34" t="str">
        <f t="shared" ref="H195:H259" si="3">IF(G195="","",CONCATENATE(D195&amp;" - ",G195))</f>
        <v>125 - pantalones plano otros</v>
      </c>
    </row>
    <row r="196" spans="1:8" x14ac:dyDescent="0.25">
      <c r="A196" s="31"/>
      <c r="B196" s="31" t="s">
        <v>695</v>
      </c>
      <c r="C196" s="31"/>
      <c r="D196" s="31">
        <v>128</v>
      </c>
      <c r="E196" s="31" t="s">
        <v>320</v>
      </c>
      <c r="F196" s="31" t="s">
        <v>288</v>
      </c>
      <c r="G196" s="31" t="s">
        <v>1252</v>
      </c>
      <c r="H196" s="34" t="str">
        <f t="shared" si="3"/>
        <v>128 - pantalones y calzas punto liso abrigo</v>
      </c>
    </row>
    <row r="197" spans="1:8" x14ac:dyDescent="0.25">
      <c r="A197" s="31"/>
      <c r="B197" s="31" t="s">
        <v>695</v>
      </c>
      <c r="C197" s="31"/>
      <c r="D197" s="31">
        <v>136</v>
      </c>
      <c r="E197" s="31" t="s">
        <v>320</v>
      </c>
      <c r="F197" s="31" t="s">
        <v>288</v>
      </c>
      <c r="G197" s="31" t="s">
        <v>1253</v>
      </c>
      <c r="H197" s="34" t="str">
        <f t="shared" si="3"/>
        <v>136 - pantalones y calzas punto estampado abrigo</v>
      </c>
    </row>
    <row r="198" spans="1:8" x14ac:dyDescent="0.25">
      <c r="A198" s="31"/>
      <c r="B198" s="31" t="s">
        <v>695</v>
      </c>
      <c r="C198" s="31"/>
      <c r="D198" s="31">
        <v>121</v>
      </c>
      <c r="E198" s="31" t="s">
        <v>320</v>
      </c>
      <c r="F198" s="31" t="s">
        <v>315</v>
      </c>
      <c r="G198" s="31" t="s">
        <v>535</v>
      </c>
      <c r="H198" s="34" t="str">
        <f t="shared" si="3"/>
        <v>121 - pantalones denim</v>
      </c>
    </row>
    <row r="199" spans="1:8" x14ac:dyDescent="0.25">
      <c r="A199" s="31"/>
      <c r="B199" s="31" t="s">
        <v>695</v>
      </c>
      <c r="C199" s="31"/>
      <c r="D199" s="31">
        <v>145</v>
      </c>
      <c r="E199" s="31" t="s">
        <v>335</v>
      </c>
      <c r="F199" s="31" t="s">
        <v>315</v>
      </c>
      <c r="G199" s="31" t="s">
        <v>536</v>
      </c>
      <c r="H199" s="34" t="str">
        <f t="shared" si="3"/>
        <v>145 - pollera plano otros</v>
      </c>
    </row>
    <row r="200" spans="1:8" x14ac:dyDescent="0.25">
      <c r="A200" s="31"/>
      <c r="B200" s="31" t="s">
        <v>695</v>
      </c>
      <c r="C200" s="31"/>
      <c r="D200" s="31">
        <v>140</v>
      </c>
      <c r="E200" s="31" t="s">
        <v>335</v>
      </c>
      <c r="F200" s="31" t="s">
        <v>288</v>
      </c>
      <c r="G200" s="31" t="s">
        <v>537</v>
      </c>
      <c r="H200" s="34" t="str">
        <f t="shared" si="3"/>
        <v>140 - pollera punto</v>
      </c>
    </row>
    <row r="201" spans="1:8" x14ac:dyDescent="0.25">
      <c r="A201" s="31"/>
      <c r="B201" s="31" t="s">
        <v>695</v>
      </c>
      <c r="C201" s="31"/>
      <c r="D201" s="31">
        <v>142</v>
      </c>
      <c r="E201" s="31" t="s">
        <v>335</v>
      </c>
      <c r="F201" s="31" t="s">
        <v>315</v>
      </c>
      <c r="G201" s="31" t="s">
        <v>538</v>
      </c>
      <c r="H201" s="34" t="str">
        <f t="shared" si="3"/>
        <v>142 - polleras denim</v>
      </c>
    </row>
    <row r="202" spans="1:8" x14ac:dyDescent="0.25">
      <c r="A202" s="31"/>
      <c r="B202" s="31" t="s">
        <v>695</v>
      </c>
      <c r="C202" s="31"/>
      <c r="D202" s="31">
        <v>150</v>
      </c>
      <c r="E202" s="31" t="s">
        <v>327</v>
      </c>
      <c r="F202" s="31" t="s">
        <v>288</v>
      </c>
      <c r="G202" s="31" t="s">
        <v>539</v>
      </c>
      <c r="H202" s="34" t="str">
        <f t="shared" si="3"/>
        <v>150 - calcita larga lisa</v>
      </c>
    </row>
    <row r="203" spans="1:8" x14ac:dyDescent="0.25">
      <c r="A203" s="31"/>
      <c r="B203" s="31" t="s">
        <v>695</v>
      </c>
      <c r="C203" s="31"/>
      <c r="D203" s="31">
        <v>151</v>
      </c>
      <c r="E203" s="31" t="s">
        <v>327</v>
      </c>
      <c r="F203" s="31" t="s">
        <v>288</v>
      </c>
      <c r="G203" s="31" t="s">
        <v>540</v>
      </c>
      <c r="H203" s="34" t="str">
        <f t="shared" si="3"/>
        <v>151 - calcita larga estampada</v>
      </c>
    </row>
    <row r="204" spans="1:8" x14ac:dyDescent="0.25">
      <c r="A204" s="31"/>
      <c r="B204" s="31" t="s">
        <v>695</v>
      </c>
      <c r="C204" s="31"/>
      <c r="D204" s="31">
        <v>152</v>
      </c>
      <c r="E204" s="31" t="s">
        <v>327</v>
      </c>
      <c r="F204" s="31" t="s">
        <v>288</v>
      </c>
      <c r="G204" s="31" t="s">
        <v>541</v>
      </c>
      <c r="H204" s="34" t="str">
        <f t="shared" si="3"/>
        <v>152 - calcita corta lisa</v>
      </c>
    </row>
    <row r="205" spans="1:8" x14ac:dyDescent="0.25">
      <c r="A205" s="31"/>
      <c r="B205" s="31" t="s">
        <v>695</v>
      </c>
      <c r="C205" s="31"/>
      <c r="D205" s="31">
        <v>153</v>
      </c>
      <c r="E205" s="31" t="s">
        <v>327</v>
      </c>
      <c r="F205" s="31" t="s">
        <v>288</v>
      </c>
      <c r="G205" s="31" t="s">
        <v>542</v>
      </c>
      <c r="H205" s="34" t="str">
        <f t="shared" si="3"/>
        <v>153 - calcita corta estampada</v>
      </c>
    </row>
    <row r="206" spans="1:8" x14ac:dyDescent="0.25">
      <c r="A206" s="31"/>
      <c r="B206" s="31" t="s">
        <v>695</v>
      </c>
      <c r="C206" s="31"/>
      <c r="D206" s="31">
        <v>160</v>
      </c>
      <c r="E206" s="31" t="s">
        <v>330</v>
      </c>
      <c r="F206" s="31" t="s">
        <v>288</v>
      </c>
      <c r="G206" s="31" t="s">
        <v>543</v>
      </c>
      <c r="H206" s="34" t="str">
        <f t="shared" si="3"/>
        <v>160 - vestiditos punto</v>
      </c>
    </row>
    <row r="207" spans="1:8" x14ac:dyDescent="0.25">
      <c r="A207" s="31"/>
      <c r="B207" s="31" t="s">
        <v>695</v>
      </c>
      <c r="C207" s="31"/>
      <c r="D207" s="31">
        <v>170</v>
      </c>
      <c r="E207" s="31" t="s">
        <v>330</v>
      </c>
      <c r="F207" s="31" t="s">
        <v>315</v>
      </c>
      <c r="G207" s="31" t="s">
        <v>544</v>
      </c>
      <c r="H207" s="34" t="str">
        <f t="shared" si="3"/>
        <v>170 - vestiditos plano</v>
      </c>
    </row>
    <row r="208" spans="1:8" x14ac:dyDescent="0.25">
      <c r="A208" s="31"/>
      <c r="B208" s="31" t="s">
        <v>695</v>
      </c>
      <c r="C208" s="31"/>
      <c r="D208" s="31">
        <v>240</v>
      </c>
      <c r="E208" s="31" t="s">
        <v>339</v>
      </c>
      <c r="F208" s="31" t="s">
        <v>288</v>
      </c>
      <c r="G208" s="31" t="s">
        <v>545</v>
      </c>
      <c r="H208" s="34" t="str">
        <f t="shared" si="3"/>
        <v>240 - buzos</v>
      </c>
    </row>
    <row r="209" spans="1:8" x14ac:dyDescent="0.25">
      <c r="A209" s="31"/>
      <c r="B209" s="31" t="s">
        <v>695</v>
      </c>
      <c r="C209" s="31"/>
      <c r="D209" s="31">
        <v>245</v>
      </c>
      <c r="E209" s="31" t="s">
        <v>339</v>
      </c>
      <c r="F209" s="31" t="s">
        <v>288</v>
      </c>
      <c r="G209" s="31" t="s">
        <v>546</v>
      </c>
      <c r="H209" s="34" t="str">
        <f t="shared" si="3"/>
        <v>245 - canguros punto liso</v>
      </c>
    </row>
    <row r="210" spans="1:8" x14ac:dyDescent="0.25">
      <c r="A210" s="31"/>
      <c r="B210" s="31" t="s">
        <v>695</v>
      </c>
      <c r="C210" s="31"/>
      <c r="D210" s="31">
        <v>246</v>
      </c>
      <c r="E210" s="31" t="s">
        <v>339</v>
      </c>
      <c r="F210" s="31" t="s">
        <v>288</v>
      </c>
      <c r="G210" s="31" t="s">
        <v>547</v>
      </c>
      <c r="H210" s="34" t="str">
        <f t="shared" si="3"/>
        <v>246 - canguro punto estampado</v>
      </c>
    </row>
    <row r="211" spans="1:8" x14ac:dyDescent="0.25">
      <c r="A211" s="31"/>
      <c r="B211" s="31" t="s">
        <v>695</v>
      </c>
      <c r="C211" s="31"/>
      <c r="D211" s="31">
        <v>247</v>
      </c>
      <c r="E211" s="31" t="s">
        <v>339</v>
      </c>
      <c r="F211" s="31" t="s">
        <v>288</v>
      </c>
      <c r="G211" s="31" t="s">
        <v>548</v>
      </c>
      <c r="H211" s="34" t="str">
        <f t="shared" si="3"/>
        <v>247 - saquito punto</v>
      </c>
    </row>
    <row r="212" spans="1:8" x14ac:dyDescent="0.25">
      <c r="A212" s="31"/>
      <c r="B212" s="31" t="s">
        <v>695</v>
      </c>
      <c r="C212" s="31"/>
      <c r="D212" s="31">
        <v>248</v>
      </c>
      <c r="E212" s="31" t="s">
        <v>339</v>
      </c>
      <c r="F212" s="31" t="s">
        <v>288</v>
      </c>
      <c r="G212" s="31" t="s">
        <v>549</v>
      </c>
      <c r="H212" s="34" t="str">
        <f t="shared" si="3"/>
        <v>248 - chaleco punto</v>
      </c>
    </row>
    <row r="213" spans="1:8" x14ac:dyDescent="0.25">
      <c r="A213" s="31"/>
      <c r="B213" s="31" t="s">
        <v>695</v>
      </c>
      <c r="C213" s="31"/>
      <c r="D213" s="31">
        <v>250</v>
      </c>
      <c r="E213" s="31" t="s">
        <v>344</v>
      </c>
      <c r="F213" s="31" t="s">
        <v>288</v>
      </c>
      <c r="G213" s="31" t="s">
        <v>550</v>
      </c>
      <c r="H213" s="34" t="str">
        <f t="shared" si="3"/>
        <v>250 - sweaters y sacos tejidos</v>
      </c>
    </row>
    <row r="214" spans="1:8" x14ac:dyDescent="0.25">
      <c r="A214" s="31"/>
      <c r="B214" s="31" t="s">
        <v>695</v>
      </c>
      <c r="C214" s="31"/>
      <c r="D214" s="31">
        <v>305</v>
      </c>
      <c r="E214" s="31" t="s">
        <v>355</v>
      </c>
      <c r="F214" s="31" t="s">
        <v>315</v>
      </c>
      <c r="G214" s="31" t="s">
        <v>551</v>
      </c>
      <c r="H214" s="34" t="str">
        <f t="shared" si="3"/>
        <v>305 - camperas y chalecos abrigo guata</v>
      </c>
    </row>
    <row r="215" spans="1:8" x14ac:dyDescent="0.25">
      <c r="A215" s="31"/>
      <c r="B215" s="31" t="s">
        <v>695</v>
      </c>
      <c r="C215" s="31"/>
      <c r="D215" s="31">
        <v>312</v>
      </c>
      <c r="E215" s="31" t="s">
        <v>358</v>
      </c>
      <c r="F215" s="31" t="s">
        <v>315</v>
      </c>
      <c r="G215" s="31" t="s">
        <v>552</v>
      </c>
      <c r="H215" s="34" t="str">
        <f t="shared" si="3"/>
        <v>312 - sacos, camperitas, chalecos, tapados, plano otros</v>
      </c>
    </row>
    <row r="216" spans="1:8" x14ac:dyDescent="0.25">
      <c r="A216" s="31"/>
      <c r="B216" s="31" t="s">
        <v>695</v>
      </c>
      <c r="C216" s="31"/>
      <c r="D216" s="31">
        <v>670</v>
      </c>
      <c r="E216" s="31" t="s">
        <v>366</v>
      </c>
      <c r="F216" s="31" t="s">
        <v>315</v>
      </c>
      <c r="G216" s="31" t="s">
        <v>553</v>
      </c>
      <c r="H216" s="34" t="str">
        <f t="shared" si="3"/>
        <v>670 - batas</v>
      </c>
    </row>
    <row r="217" spans="1:8" x14ac:dyDescent="0.25">
      <c r="A217" s="31"/>
      <c r="B217" s="31" t="s">
        <v>695</v>
      </c>
      <c r="C217" s="31"/>
      <c r="D217" s="31">
        <v>671</v>
      </c>
      <c r="E217" s="31" t="s">
        <v>366</v>
      </c>
      <c r="F217" s="31" t="s">
        <v>315</v>
      </c>
      <c r="G217" s="31" t="s">
        <v>554</v>
      </c>
      <c r="H217" s="34" t="str">
        <f t="shared" si="3"/>
        <v>671 - toallones</v>
      </c>
    </row>
    <row r="218" spans="1:8" x14ac:dyDescent="0.25">
      <c r="A218" s="31"/>
      <c r="B218" s="31" t="s">
        <v>695</v>
      </c>
      <c r="C218" s="31"/>
      <c r="D218" s="31">
        <v>680</v>
      </c>
      <c r="E218" s="31" t="s">
        <v>374</v>
      </c>
      <c r="F218" s="31" t="s">
        <v>288</v>
      </c>
      <c r="G218" s="31" t="s">
        <v>555</v>
      </c>
      <c r="H218" s="34" t="str">
        <f t="shared" si="3"/>
        <v>680 - trajes de baño lycra</v>
      </c>
    </row>
    <row r="219" spans="1:8" x14ac:dyDescent="0.25">
      <c r="A219" s="31"/>
      <c r="B219" s="31" t="s">
        <v>695</v>
      </c>
      <c r="C219" s="31"/>
      <c r="D219" s="31">
        <v>681</v>
      </c>
      <c r="E219" s="31" t="s">
        <v>374</v>
      </c>
      <c r="F219" s="31" t="s">
        <v>315</v>
      </c>
      <c r="G219" s="31" t="s">
        <v>556</v>
      </c>
      <c r="H219" s="34" t="str">
        <f t="shared" si="3"/>
        <v>681 - trajes de baño plano</v>
      </c>
    </row>
    <row r="220" spans="1:8" x14ac:dyDescent="0.25">
      <c r="A220" s="31"/>
      <c r="B220" s="31" t="s">
        <v>695</v>
      </c>
      <c r="C220" s="31"/>
      <c r="D220" s="31">
        <v>682</v>
      </c>
      <c r="E220" s="31" t="s">
        <v>374</v>
      </c>
      <c r="F220" s="31" t="s">
        <v>288</v>
      </c>
      <c r="G220" s="31" t="s">
        <v>1251</v>
      </c>
      <c r="H220" s="34" t="str">
        <f t="shared" si="3"/>
        <v>682 - remeras de agua</v>
      </c>
    </row>
    <row r="221" spans="1:8" x14ac:dyDescent="0.25">
      <c r="A221" s="31"/>
      <c r="B221" s="31" t="s">
        <v>695</v>
      </c>
      <c r="C221" s="31"/>
      <c r="D221" s="31">
        <v>700</v>
      </c>
      <c r="E221" s="31" t="s">
        <v>379</v>
      </c>
      <c r="F221" s="31" t="s">
        <v>288</v>
      </c>
      <c r="G221" s="31" t="s">
        <v>557</v>
      </c>
      <c r="H221" s="34" t="str">
        <f t="shared" si="3"/>
        <v>700 - accesorios</v>
      </c>
    </row>
    <row r="222" spans="1:8" x14ac:dyDescent="0.25">
      <c r="A222" s="31"/>
      <c r="B222" s="31" t="s">
        <v>695</v>
      </c>
      <c r="C222" s="31"/>
      <c r="D222" s="31">
        <v>640</v>
      </c>
      <c r="E222" s="31" t="s">
        <v>558</v>
      </c>
      <c r="F222" s="31" t="s">
        <v>288</v>
      </c>
      <c r="G222" s="31" t="s">
        <v>559</v>
      </c>
      <c r="H222" s="34" t="str">
        <f t="shared" si="3"/>
        <v>640 - pijamas y camisones</v>
      </c>
    </row>
    <row r="223" spans="1:8" x14ac:dyDescent="0.25">
      <c r="A223" s="31"/>
      <c r="B223" s="31" t="s">
        <v>695</v>
      </c>
      <c r="C223" s="31"/>
      <c r="D223" s="31">
        <v>650</v>
      </c>
      <c r="E223" s="31" t="s">
        <v>560</v>
      </c>
      <c r="F223" s="31" t="s">
        <v>288</v>
      </c>
      <c r="G223" s="31" t="s">
        <v>561</v>
      </c>
      <c r="H223" s="34" t="str">
        <f t="shared" si="3"/>
        <v>650 - boxer y bombis</v>
      </c>
    </row>
    <row r="224" spans="1:8" x14ac:dyDescent="0.25">
      <c r="A224" s="31"/>
      <c r="B224" s="31"/>
      <c r="C224" s="31"/>
      <c r="D224" s="31"/>
      <c r="E224" s="31"/>
      <c r="F224" s="31"/>
      <c r="G224" s="31"/>
      <c r="H224" s="34" t="str">
        <f t="shared" si="3"/>
        <v/>
      </c>
    </row>
    <row r="225" spans="1:8" x14ac:dyDescent="0.25">
      <c r="A225" s="31">
        <v>7</v>
      </c>
      <c r="B225" s="31" t="s">
        <v>562</v>
      </c>
      <c r="C225" s="31"/>
      <c r="D225" s="31" t="s">
        <v>563</v>
      </c>
      <c r="E225" s="31">
        <v>1</v>
      </c>
      <c r="F225" s="31"/>
      <c r="G225" s="31" t="s">
        <v>564</v>
      </c>
      <c r="H225" s="34" t="str">
        <f t="shared" si="3"/>
        <v>NOC - NO CAMINANTES</v>
      </c>
    </row>
    <row r="226" spans="1:8" x14ac:dyDescent="0.25">
      <c r="A226" s="36"/>
      <c r="B226" s="31" t="s">
        <v>562</v>
      </c>
      <c r="C226" s="36"/>
      <c r="D226" s="31" t="s">
        <v>565</v>
      </c>
      <c r="E226" s="31">
        <v>2</v>
      </c>
      <c r="F226" s="31"/>
      <c r="G226" s="31" t="s">
        <v>566</v>
      </c>
      <c r="H226" s="34" t="str">
        <f t="shared" si="3"/>
        <v>INY - INYECTADO</v>
      </c>
    </row>
    <row r="227" spans="1:8" x14ac:dyDescent="0.25">
      <c r="A227" s="31"/>
      <c r="B227" s="31" t="s">
        <v>562</v>
      </c>
      <c r="C227" s="31"/>
      <c r="D227" s="31" t="s">
        <v>567</v>
      </c>
      <c r="E227" s="31">
        <v>3</v>
      </c>
      <c r="F227" s="31"/>
      <c r="G227" s="31" t="s">
        <v>568</v>
      </c>
      <c r="H227" s="34" t="str">
        <f t="shared" si="3"/>
        <v>CUE - CUERO</v>
      </c>
    </row>
    <row r="228" spans="1:8" x14ac:dyDescent="0.25">
      <c r="A228" s="31"/>
      <c r="B228" s="31" t="s">
        <v>562</v>
      </c>
      <c r="C228" s="31"/>
      <c r="D228" s="31" t="s">
        <v>569</v>
      </c>
      <c r="E228" s="31">
        <v>4</v>
      </c>
      <c r="F228" s="31"/>
      <c r="G228" s="31" t="s">
        <v>570</v>
      </c>
      <c r="H228" s="34" t="str">
        <f t="shared" si="3"/>
        <v>AGU - AGUA</v>
      </c>
    </row>
    <row r="229" spans="1:8" x14ac:dyDescent="0.25">
      <c r="A229" s="31"/>
      <c r="B229" s="31" t="s">
        <v>562</v>
      </c>
      <c r="C229" s="31"/>
      <c r="D229" s="31" t="s">
        <v>571</v>
      </c>
      <c r="E229" s="31">
        <v>5</v>
      </c>
      <c r="F229" s="31"/>
      <c r="G229" s="31" t="s">
        <v>572</v>
      </c>
      <c r="H229" s="34" t="str">
        <f t="shared" si="3"/>
        <v>LLU - LLUVIA</v>
      </c>
    </row>
    <row r="230" spans="1:8" x14ac:dyDescent="0.25">
      <c r="A230" s="31"/>
      <c r="B230" s="31" t="s">
        <v>562</v>
      </c>
      <c r="C230" s="31"/>
      <c r="D230" s="31" t="s">
        <v>573</v>
      </c>
      <c r="E230" s="31">
        <v>6</v>
      </c>
      <c r="F230" s="31"/>
      <c r="G230" s="31" t="s">
        <v>574</v>
      </c>
      <c r="H230" s="34" t="str">
        <f t="shared" si="3"/>
        <v>VUL - VULCANIZADO</v>
      </c>
    </row>
    <row r="231" spans="1:8" x14ac:dyDescent="0.25">
      <c r="A231" s="31"/>
      <c r="B231" s="31" t="s">
        <v>562</v>
      </c>
      <c r="C231" s="31"/>
      <c r="D231" s="31" t="s">
        <v>575</v>
      </c>
      <c r="E231" s="31">
        <v>7</v>
      </c>
      <c r="F231" s="31"/>
      <c r="G231" s="31" t="s">
        <v>576</v>
      </c>
      <c r="H231" s="34" t="str">
        <f t="shared" si="3"/>
        <v>VAR - VARIOS, PANTUFLAS, DISFRACES, ETC</v>
      </c>
    </row>
    <row r="232" spans="1:8" x14ac:dyDescent="0.25">
      <c r="A232" s="31"/>
      <c r="B232" s="31" t="s">
        <v>562</v>
      </c>
      <c r="C232" s="31"/>
      <c r="D232" s="31" t="s">
        <v>577</v>
      </c>
      <c r="E232" s="31">
        <v>6</v>
      </c>
      <c r="F232" s="31"/>
      <c r="G232" s="31" t="s">
        <v>578</v>
      </c>
      <c r="H232" s="34" t="str">
        <f t="shared" si="3"/>
        <v>PEG - PEGADO EN FRIO</v>
      </c>
    </row>
    <row r="233" spans="1:8" x14ac:dyDescent="0.25">
      <c r="A233" s="31"/>
      <c r="B233" s="31" t="s">
        <v>562</v>
      </c>
      <c r="C233" s="31"/>
      <c r="D233" s="31" t="s">
        <v>579</v>
      </c>
      <c r="E233" s="31">
        <v>9</v>
      </c>
      <c r="F233" s="31"/>
      <c r="G233" s="31" t="s">
        <v>580</v>
      </c>
      <c r="H233" s="34" t="str">
        <f t="shared" si="3"/>
        <v>ALP - ALPARGATAS</v>
      </c>
    </row>
    <row r="234" spans="1:8" x14ac:dyDescent="0.25">
      <c r="A234" s="31"/>
      <c r="B234" s="31"/>
      <c r="C234" s="31"/>
      <c r="D234" s="31"/>
      <c r="E234" s="31"/>
      <c r="F234" s="31"/>
      <c r="G234" s="31"/>
      <c r="H234" s="34" t="str">
        <f t="shared" si="3"/>
        <v/>
      </c>
    </row>
    <row r="235" spans="1:8" x14ac:dyDescent="0.25">
      <c r="A235" s="31"/>
      <c r="B235" s="31"/>
      <c r="C235" s="31"/>
      <c r="D235" s="31"/>
      <c r="E235" s="31"/>
      <c r="F235" s="31"/>
      <c r="G235" s="31"/>
      <c r="H235" s="34" t="str">
        <f t="shared" si="3"/>
        <v/>
      </c>
    </row>
    <row r="236" spans="1:8" x14ac:dyDescent="0.25">
      <c r="A236" s="31">
        <v>8</v>
      </c>
      <c r="B236" s="31" t="s">
        <v>380</v>
      </c>
      <c r="C236" s="31"/>
      <c r="D236" s="31">
        <v>308</v>
      </c>
      <c r="E236" s="31">
        <v>0</v>
      </c>
      <c r="F236" s="31"/>
      <c r="G236" s="31" t="s">
        <v>581</v>
      </c>
      <c r="H236" s="34" t="str">
        <f t="shared" si="3"/>
        <v>308 - Cinturones</v>
      </c>
    </row>
    <row r="237" spans="1:8" x14ac:dyDescent="0.25">
      <c r="A237" s="31"/>
      <c r="B237" s="31" t="s">
        <v>380</v>
      </c>
      <c r="C237" s="31"/>
      <c r="D237" s="31">
        <v>408</v>
      </c>
      <c r="E237" s="31">
        <v>1</v>
      </c>
      <c r="F237" s="31"/>
      <c r="G237" s="31" t="s">
        <v>582</v>
      </c>
      <c r="H237" s="34" t="str">
        <f t="shared" si="3"/>
        <v>408 - PANTYS NENA</v>
      </c>
    </row>
    <row r="238" spans="1:8" x14ac:dyDescent="0.25">
      <c r="A238" s="36"/>
      <c r="B238" s="31" t="s">
        <v>380</v>
      </c>
      <c r="C238" s="36"/>
      <c r="D238" s="31">
        <v>409</v>
      </c>
      <c r="E238" s="31"/>
      <c r="F238" s="31"/>
      <c r="G238" s="31" t="s">
        <v>583</v>
      </c>
      <c r="H238" s="34" t="str">
        <f t="shared" si="3"/>
        <v>409 - GUANTES</v>
      </c>
    </row>
    <row r="239" spans="1:8" x14ac:dyDescent="0.25">
      <c r="A239" s="31"/>
      <c r="B239" s="31" t="s">
        <v>380</v>
      </c>
      <c r="C239" s="31"/>
      <c r="D239" s="31">
        <v>415</v>
      </c>
      <c r="E239" s="31">
        <v>1</v>
      </c>
      <c r="F239" s="31"/>
      <c r="G239" s="31" t="s">
        <v>584</v>
      </c>
      <c r="H239" s="34" t="str">
        <f t="shared" si="3"/>
        <v>415 - MEDIAS NENA MEDIA CAÑA/ CAÑA ALTA</v>
      </c>
    </row>
    <row r="240" spans="1:8" x14ac:dyDescent="0.25">
      <c r="A240" s="31"/>
      <c r="B240" s="31" t="s">
        <v>380</v>
      </c>
      <c r="C240" s="31"/>
      <c r="D240" s="31">
        <v>416</v>
      </c>
      <c r="E240" s="31">
        <v>1</v>
      </c>
      <c r="F240" s="31"/>
      <c r="G240" s="31" t="s">
        <v>585</v>
      </c>
      <c r="H240" s="34" t="str">
        <f t="shared" si="3"/>
        <v>416 - SOQUETE NENA</v>
      </c>
    </row>
    <row r="241" spans="1:8" x14ac:dyDescent="0.25">
      <c r="A241" s="31"/>
      <c r="B241" s="31" t="s">
        <v>380</v>
      </c>
      <c r="C241" s="31"/>
      <c r="D241" s="31">
        <v>417</v>
      </c>
      <c r="E241" s="31">
        <v>1</v>
      </c>
      <c r="F241" s="31"/>
      <c r="G241" s="31" t="s">
        <v>586</v>
      </c>
      <c r="H241" s="34" t="str">
        <f t="shared" si="3"/>
        <v>417 - MEDIAS VARON MEDIA CAÑA/ CAÑA ALTA</v>
      </c>
    </row>
    <row r="242" spans="1:8" x14ac:dyDescent="0.25">
      <c r="A242" s="31"/>
      <c r="B242" s="31" t="s">
        <v>380</v>
      </c>
      <c r="C242" s="31"/>
      <c r="D242" s="31">
        <v>419</v>
      </c>
      <c r="E242" s="31">
        <v>1</v>
      </c>
      <c r="F242" s="31"/>
      <c r="G242" s="31" t="s">
        <v>587</v>
      </c>
      <c r="H242" s="34" t="str">
        <f t="shared" si="3"/>
        <v>419 - SOQUETE VARON</v>
      </c>
    </row>
    <row r="243" spans="1:8" x14ac:dyDescent="0.25">
      <c r="A243" s="31"/>
      <c r="B243" s="31" t="s">
        <v>380</v>
      </c>
      <c r="C243" s="31"/>
      <c r="D243" s="35">
        <v>423</v>
      </c>
      <c r="E243" s="31">
        <v>1</v>
      </c>
      <c r="F243" s="31"/>
      <c r="G243" s="31" t="s">
        <v>588</v>
      </c>
      <c r="H243" s="34" t="str">
        <f t="shared" si="3"/>
        <v>423 - MEDIAS PETIT/MPG</v>
      </c>
    </row>
    <row r="244" spans="1:8" x14ac:dyDescent="0.25">
      <c r="A244" s="31"/>
      <c r="B244" s="31" t="s">
        <v>380</v>
      </c>
      <c r="C244" s="31"/>
      <c r="D244" s="31">
        <v>608</v>
      </c>
      <c r="E244" s="31">
        <v>2</v>
      </c>
      <c r="F244" s="31"/>
      <c r="G244" s="31" t="s">
        <v>589</v>
      </c>
      <c r="H244" s="34" t="str">
        <f t="shared" si="3"/>
        <v>608 - DISFRACES NENA</v>
      </c>
    </row>
    <row r="245" spans="1:8" x14ac:dyDescent="0.25">
      <c r="A245" s="31"/>
      <c r="B245" s="31" t="s">
        <v>380</v>
      </c>
      <c r="C245" s="31"/>
      <c r="D245" s="31">
        <v>609</v>
      </c>
      <c r="E245" s="31">
        <v>2</v>
      </c>
      <c r="F245" s="31"/>
      <c r="G245" s="31" t="s">
        <v>590</v>
      </c>
      <c r="H245" s="34" t="str">
        <f t="shared" si="3"/>
        <v>609 - DISFRACES VARON</v>
      </c>
    </row>
    <row r="246" spans="1:8" x14ac:dyDescent="0.25">
      <c r="A246" s="31"/>
      <c r="B246" s="31" t="s">
        <v>380</v>
      </c>
      <c r="C246" s="31"/>
      <c r="D246" s="31">
        <v>708</v>
      </c>
      <c r="E246" s="31">
        <v>3</v>
      </c>
      <c r="F246" s="31"/>
      <c r="G246" s="31" t="s">
        <v>591</v>
      </c>
      <c r="H246" s="34" t="str">
        <f t="shared" si="3"/>
        <v>708 - COLITAS Y GOMITAS</v>
      </c>
    </row>
    <row r="247" spans="1:8" x14ac:dyDescent="0.25">
      <c r="A247" s="31"/>
      <c r="B247" s="31" t="s">
        <v>380</v>
      </c>
      <c r="C247" s="31"/>
      <c r="D247" s="31">
        <v>709</v>
      </c>
      <c r="E247" s="31">
        <v>3</v>
      </c>
      <c r="F247" s="31"/>
      <c r="G247" s="31" t="s">
        <v>592</v>
      </c>
      <c r="H247" s="34" t="str">
        <f t="shared" si="3"/>
        <v>709 - VINCHAS</v>
      </c>
    </row>
    <row r="248" spans="1:8" x14ac:dyDescent="0.25">
      <c r="A248" s="31"/>
      <c r="B248" s="31" t="s">
        <v>380</v>
      </c>
      <c r="C248" s="31"/>
      <c r="D248" s="31">
        <v>715</v>
      </c>
      <c r="E248" s="31">
        <v>3</v>
      </c>
      <c r="F248" s="31"/>
      <c r="G248" s="31" t="s">
        <v>593</v>
      </c>
      <c r="H248" s="34" t="str">
        <f t="shared" si="3"/>
        <v>715 - HEBILLAS Y TIC TAC</v>
      </c>
    </row>
    <row r="249" spans="1:8" x14ac:dyDescent="0.25">
      <c r="A249" s="31"/>
      <c r="B249" s="31" t="s">
        <v>380</v>
      </c>
      <c r="C249" s="31"/>
      <c r="D249" s="31">
        <v>718</v>
      </c>
      <c r="E249" s="31">
        <v>4</v>
      </c>
      <c r="F249" s="31"/>
      <c r="G249" s="31" t="s">
        <v>594</v>
      </c>
      <c r="H249" s="34" t="str">
        <f t="shared" si="3"/>
        <v xml:space="preserve">718 - Perfumeria </v>
      </c>
    </row>
    <row r="250" spans="1:8" x14ac:dyDescent="0.25">
      <c r="A250" s="31"/>
      <c r="B250" s="31" t="s">
        <v>380</v>
      </c>
      <c r="C250" s="31"/>
      <c r="D250" s="31">
        <v>860</v>
      </c>
      <c r="E250" s="31">
        <v>5</v>
      </c>
      <c r="F250" s="31"/>
      <c r="G250" s="31" t="s">
        <v>595</v>
      </c>
      <c r="H250" s="34" t="str">
        <f t="shared" si="3"/>
        <v>860 - Bijouterie Y PINS</v>
      </c>
    </row>
    <row r="251" spans="1:8" x14ac:dyDescent="0.25">
      <c r="A251" s="31"/>
      <c r="B251" s="31" t="s">
        <v>380</v>
      </c>
      <c r="C251" s="31"/>
      <c r="D251" s="31">
        <v>920</v>
      </c>
      <c r="E251" s="31">
        <v>6</v>
      </c>
      <c r="F251" s="31"/>
      <c r="G251" s="31" t="s">
        <v>596</v>
      </c>
      <c r="H251" s="34" t="str">
        <f t="shared" si="3"/>
        <v>920 - Lluvia</v>
      </c>
    </row>
    <row r="252" spans="1:8" x14ac:dyDescent="0.25">
      <c r="A252" s="31"/>
      <c r="B252" s="31" t="s">
        <v>380</v>
      </c>
      <c r="C252" s="31"/>
      <c r="D252" s="31">
        <v>951</v>
      </c>
      <c r="E252" s="31">
        <v>7</v>
      </c>
      <c r="F252" s="31"/>
      <c r="G252" s="31" t="s">
        <v>597</v>
      </c>
      <c r="H252" s="34" t="str">
        <f t="shared" si="3"/>
        <v>951 - portachupetes</v>
      </c>
    </row>
    <row r="253" spans="1:8" x14ac:dyDescent="0.25">
      <c r="A253" s="31"/>
      <c r="B253" s="31" t="s">
        <v>380</v>
      </c>
      <c r="C253" s="31"/>
      <c r="D253" s="31">
        <v>952</v>
      </c>
      <c r="E253" s="31">
        <v>7</v>
      </c>
      <c r="F253" s="31"/>
      <c r="G253" s="31" t="s">
        <v>598</v>
      </c>
      <c r="H253" s="34" t="str">
        <f t="shared" si="3"/>
        <v>952 - sonajeros y trapitos</v>
      </c>
    </row>
    <row r="254" spans="1:8" x14ac:dyDescent="0.25">
      <c r="A254" s="31"/>
      <c r="B254" s="31" t="s">
        <v>380</v>
      </c>
      <c r="C254" s="31"/>
      <c r="D254" s="31">
        <v>954</v>
      </c>
      <c r="E254" s="31">
        <v>7</v>
      </c>
      <c r="F254" s="31"/>
      <c r="G254" s="31" t="s">
        <v>599</v>
      </c>
      <c r="H254" s="34" t="str">
        <f t="shared" si="3"/>
        <v>954 - otros juguetes blandos bebe, pelota, cubo, etc</v>
      </c>
    </row>
    <row r="255" spans="1:8" x14ac:dyDescent="0.25">
      <c r="A255" s="31"/>
      <c r="B255" s="31" t="s">
        <v>380</v>
      </c>
      <c r="C255" s="31"/>
      <c r="D255" s="31">
        <v>980</v>
      </c>
      <c r="E255" s="31">
        <v>8</v>
      </c>
      <c r="F255" s="31"/>
      <c r="G255" s="31" t="s">
        <v>600</v>
      </c>
      <c r="H255" s="34" t="str">
        <f t="shared" si="3"/>
        <v>980 - Varios</v>
      </c>
    </row>
    <row r="256" spans="1:8" x14ac:dyDescent="0.25">
      <c r="A256" s="31"/>
      <c r="B256" s="31" t="s">
        <v>380</v>
      </c>
      <c r="C256" s="31"/>
      <c r="D256" s="33" t="s">
        <v>601</v>
      </c>
      <c r="E256" s="31">
        <v>9</v>
      </c>
      <c r="F256" s="33"/>
      <c r="G256" s="31" t="s">
        <v>602</v>
      </c>
      <c r="H256" s="34" t="str">
        <f t="shared" si="3"/>
        <v>000 - uniformes</v>
      </c>
    </row>
    <row r="257" spans="1:8" x14ac:dyDescent="0.25">
      <c r="A257" s="31"/>
      <c r="B257" s="31"/>
      <c r="C257" s="31"/>
      <c r="D257" s="31"/>
      <c r="E257" s="31"/>
      <c r="F257" s="31"/>
      <c r="G257" s="31"/>
      <c r="H257" s="34" t="str">
        <f t="shared" si="3"/>
        <v/>
      </c>
    </row>
    <row r="258" spans="1:8" x14ac:dyDescent="0.25">
      <c r="A258" s="31" t="s">
        <v>299</v>
      </c>
      <c r="B258" s="31" t="s">
        <v>603</v>
      </c>
      <c r="C258" s="31"/>
      <c r="D258" s="31">
        <v>108</v>
      </c>
      <c r="E258" s="31" t="s">
        <v>296</v>
      </c>
      <c r="F258" s="31" t="s">
        <v>288</v>
      </c>
      <c r="G258" s="31" t="s">
        <v>604</v>
      </c>
      <c r="H258" s="34" t="str">
        <f t="shared" si="3"/>
        <v>108 - polera</v>
      </c>
    </row>
    <row r="259" spans="1:8" x14ac:dyDescent="0.25">
      <c r="A259" s="31"/>
      <c r="B259" s="31" t="s">
        <v>603</v>
      </c>
      <c r="C259" s="31"/>
      <c r="D259" s="31">
        <v>108</v>
      </c>
      <c r="E259" s="31" t="s">
        <v>296</v>
      </c>
      <c r="F259" s="31" t="s">
        <v>288</v>
      </c>
      <c r="G259" s="31" t="s">
        <v>605</v>
      </c>
      <c r="H259" s="34" t="str">
        <f t="shared" si="3"/>
        <v>108 - remera</v>
      </c>
    </row>
    <row r="260" spans="1:8" x14ac:dyDescent="0.25">
      <c r="A260" s="36"/>
      <c r="B260" s="31" t="s">
        <v>603</v>
      </c>
      <c r="C260" s="36"/>
      <c r="D260" s="31">
        <v>128</v>
      </c>
      <c r="E260" s="31" t="s">
        <v>320</v>
      </c>
      <c r="F260" s="31" t="s">
        <v>288</v>
      </c>
      <c r="G260" s="31" t="s">
        <v>606</v>
      </c>
      <c r="H260" s="34" t="str">
        <f t="shared" ref="H260:H264" si="4">IF(G260="","",CONCATENATE(D260&amp;" - ",G260))</f>
        <v>128 - pantalon punto</v>
      </c>
    </row>
    <row r="261" spans="1:8" x14ac:dyDescent="0.25">
      <c r="A261" s="31"/>
      <c r="B261" s="31" t="s">
        <v>603</v>
      </c>
      <c r="C261" s="31"/>
      <c r="D261" s="31">
        <v>240</v>
      </c>
      <c r="E261" s="31" t="s">
        <v>558</v>
      </c>
      <c r="F261" s="31" t="s">
        <v>288</v>
      </c>
      <c r="G261" s="31" t="s">
        <v>607</v>
      </c>
      <c r="H261" s="34" t="str">
        <f t="shared" si="4"/>
        <v>240 - buzo punto</v>
      </c>
    </row>
    <row r="262" spans="1:8" x14ac:dyDescent="0.25">
      <c r="A262" s="31"/>
      <c r="B262" s="31" t="s">
        <v>603</v>
      </c>
      <c r="C262" s="31"/>
      <c r="D262" s="31">
        <v>245</v>
      </c>
      <c r="E262" s="31" t="s">
        <v>558</v>
      </c>
      <c r="F262" s="31" t="s">
        <v>288</v>
      </c>
      <c r="G262" s="31" t="s">
        <v>608</v>
      </c>
      <c r="H262" s="34" t="str">
        <f t="shared" si="4"/>
        <v xml:space="preserve">245 - canguro punto </v>
      </c>
    </row>
    <row r="263" spans="1:8" x14ac:dyDescent="0.25">
      <c r="A263" s="31"/>
      <c r="B263" s="31" t="s">
        <v>603</v>
      </c>
      <c r="C263" s="31"/>
      <c r="D263" s="31">
        <v>305</v>
      </c>
      <c r="E263" s="31" t="s">
        <v>358</v>
      </c>
      <c r="F263" s="31" t="s">
        <v>315</v>
      </c>
      <c r="G263" s="31" t="s">
        <v>551</v>
      </c>
      <c r="H263" s="34" t="str">
        <f t="shared" si="4"/>
        <v>305 - camperas y chalecos abrigo guata</v>
      </c>
    </row>
    <row r="264" spans="1:8" x14ac:dyDescent="0.25">
      <c r="A264" s="31"/>
      <c r="B264" s="31" t="s">
        <v>603</v>
      </c>
      <c r="C264" s="31"/>
      <c r="D264" s="31">
        <v>312</v>
      </c>
      <c r="E264" s="31" t="s">
        <v>358</v>
      </c>
      <c r="F264" s="31" t="s">
        <v>315</v>
      </c>
      <c r="G264" s="31" t="s">
        <v>552</v>
      </c>
      <c r="H264" s="3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workbookViewId="0">
      <selection sqref="A1:A166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1278</v>
      </c>
    </row>
    <row r="2" spans="1:1" x14ac:dyDescent="0.2">
      <c r="A2" t="s">
        <v>1279</v>
      </c>
    </row>
    <row r="3" spans="1:1" x14ac:dyDescent="0.2">
      <c r="A3" t="s">
        <v>1280</v>
      </c>
    </row>
    <row r="4" spans="1:1" x14ac:dyDescent="0.2">
      <c r="A4" t="s">
        <v>1281</v>
      </c>
    </row>
    <row r="5" spans="1:1" x14ac:dyDescent="0.2">
      <c r="A5" t="s">
        <v>1282</v>
      </c>
    </row>
    <row r="6" spans="1:1" x14ac:dyDescent="0.2">
      <c r="A6" t="s">
        <v>1283</v>
      </c>
    </row>
    <row r="7" spans="1:1" x14ac:dyDescent="0.2">
      <c r="A7" t="s">
        <v>1284</v>
      </c>
    </row>
    <row r="8" spans="1:1" x14ac:dyDescent="0.2">
      <c r="A8" t="s">
        <v>1285</v>
      </c>
    </row>
    <row r="9" spans="1:1" x14ac:dyDescent="0.2">
      <c r="A9" t="s">
        <v>1286</v>
      </c>
    </row>
    <row r="10" spans="1:1" x14ac:dyDescent="0.2">
      <c r="A10" t="s">
        <v>1287</v>
      </c>
    </row>
    <row r="11" spans="1:1" x14ac:dyDescent="0.2">
      <c r="A11" t="s">
        <v>1288</v>
      </c>
    </row>
    <row r="12" spans="1:1" x14ac:dyDescent="0.2">
      <c r="A12" t="s">
        <v>1289</v>
      </c>
    </row>
    <row r="13" spans="1:1" x14ac:dyDescent="0.2">
      <c r="A13" t="s">
        <v>1290</v>
      </c>
    </row>
    <row r="14" spans="1:1" x14ac:dyDescent="0.2">
      <c r="A14" t="s">
        <v>1291</v>
      </c>
    </row>
    <row r="15" spans="1:1" x14ac:dyDescent="0.2">
      <c r="A15" t="s">
        <v>1292</v>
      </c>
    </row>
    <row r="16" spans="1:1" x14ac:dyDescent="0.2">
      <c r="A16" t="s">
        <v>1293</v>
      </c>
    </row>
    <row r="17" spans="1:1" x14ac:dyDescent="0.2">
      <c r="A17" t="s">
        <v>1294</v>
      </c>
    </row>
    <row r="18" spans="1:1" x14ac:dyDescent="0.2">
      <c r="A18" t="s">
        <v>1295</v>
      </c>
    </row>
    <row r="19" spans="1:1" x14ac:dyDescent="0.2">
      <c r="A19" t="s">
        <v>1296</v>
      </c>
    </row>
    <row r="20" spans="1:1" x14ac:dyDescent="0.2">
      <c r="A20" t="s">
        <v>1297</v>
      </c>
    </row>
    <row r="21" spans="1:1" x14ac:dyDescent="0.2">
      <c r="A21" t="s">
        <v>1298</v>
      </c>
    </row>
    <row r="22" spans="1:1" x14ac:dyDescent="0.2">
      <c r="A22" t="s">
        <v>1299</v>
      </c>
    </row>
    <row r="23" spans="1:1" x14ac:dyDescent="0.2">
      <c r="A23" t="s">
        <v>1300</v>
      </c>
    </row>
    <row r="24" spans="1:1" x14ac:dyDescent="0.2">
      <c r="A24" t="s">
        <v>1301</v>
      </c>
    </row>
    <row r="25" spans="1:1" x14ac:dyDescent="0.2">
      <c r="A25" t="s">
        <v>1302</v>
      </c>
    </row>
    <row r="26" spans="1:1" x14ac:dyDescent="0.2">
      <c r="A26" t="s">
        <v>1303</v>
      </c>
    </row>
    <row r="27" spans="1:1" x14ac:dyDescent="0.2">
      <c r="A27" t="s">
        <v>1304</v>
      </c>
    </row>
    <row r="28" spans="1:1" x14ac:dyDescent="0.2">
      <c r="A28" t="s">
        <v>1305</v>
      </c>
    </row>
    <row r="29" spans="1:1" x14ac:dyDescent="0.2">
      <c r="A29" t="s">
        <v>1306</v>
      </c>
    </row>
    <row r="30" spans="1:1" x14ac:dyDescent="0.2">
      <c r="A30" t="s">
        <v>1307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GEOMETRAL</vt:lpstr>
      <vt:lpstr>FICHA CARGA</vt:lpstr>
      <vt:lpstr>TELAS</vt:lpstr>
      <vt:lpstr>AUX</vt:lpstr>
      <vt:lpstr>AUX MPG</vt:lpstr>
      <vt:lpstr>AUX NENA</vt:lpstr>
      <vt:lpstr>AUX VARON</vt:lpstr>
      <vt:lpstr>COD COLOR</vt:lpstr>
      <vt:lpstr>RUBROS Y GRUPOS</vt:lpstr>
      <vt:lpstr>AUXG</vt:lpstr>
      <vt:lpstr>'FICHA CARGA'!Área_de_impresión</vt:lpstr>
      <vt:lpstr>GEOMETRAL!Área_de_impresión</vt:lpstr>
      <vt:lpstr>datos</vt:lpstr>
      <vt:lpstr>'AUX MPG'!Print_Area</vt:lpstr>
      <vt:lpstr>'AUX NENA'!Print_Area</vt:lpstr>
      <vt:lpstr>'AUX VARON'!Print_Area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2022-06-23T17:14:49Z</cp:lastPrinted>
  <dcterms:created xsi:type="dcterms:W3CDTF">2004-06-16T14:49:36Z</dcterms:created>
  <dcterms:modified xsi:type="dcterms:W3CDTF">2022-10-27T12:51:54Z</dcterms:modified>
</cp:coreProperties>
</file>